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97d07ed67c7f91/Escritorio/CURSO DATA ANLYTICS/clasev 9/Nueva entrega para subir/"/>
    </mc:Choice>
  </mc:AlternateContent>
  <xr:revisionPtr revIDLastSave="0" documentId="8_{B4B1812B-DF89-434F-AF66-35857BC94F26}" xr6:coauthVersionLast="47" xr6:coauthVersionMax="47" xr10:uidLastSave="{00000000-0000-0000-0000-000000000000}"/>
  <bookViews>
    <workbookView xWindow="-108" yWindow="-108" windowWidth="23256" windowHeight="12456" activeTab="1" xr2:uid="{7E7EAC16-C43A-40A3-B576-CAC2AA6C4124}"/>
  </bookViews>
  <sheets>
    <sheet name="Dashboard Final" sheetId="41" r:id="rId1"/>
    <sheet name="Registro_IA_M9" sheetId="43" r:id="rId2"/>
    <sheet name="PreEntrega_ModeloBI_Cornago" sheetId="38" r:id="rId3"/>
    <sheet name="Resumen_Escenarios_Oficial" sheetId="40" r:id="rId4"/>
    <sheet name="Simulacion_M8" sheetId="35" r:id="rId5"/>
    <sheet name="ToolPak_Estadistica" sheetId="39" r:id="rId6"/>
    <sheet name="Documentacion_M8" sheetId="37" r:id="rId7"/>
    <sheet name="Q_Transacciones_ETL" sheetId="27" r:id="rId8"/>
    <sheet name="Dim_Clientes_M8" sheetId="31" r:id="rId9"/>
    <sheet name="Dim_Productos_M8" sheetId="32" r:id="rId10"/>
    <sheet name="Dim_Calendario_M8" sheetId="33" r:id="rId11"/>
    <sheet name="Soporte_Dashboard_M9" sheetId="42" state="hidden" r:id="rId12"/>
  </sheets>
  <definedNames>
    <definedName name="_xlcn.WorksheetConnection_PreEntrega_ModeloBI_CornagoMariana.xlsxDim_Calendario_M81" hidden="1">Dim_Calendario_M8[]</definedName>
    <definedName name="_xlcn.WorksheetConnection_PreEntrega_ModeloBI_CornagoMariana.xlsxDim_Clientes_M81" hidden="1">Dim_Clientes_M8[]</definedName>
    <definedName name="_xlcn.WorksheetConnection_PreEntrega_ModeloBI_CornagoMariana.xlsxDim_Productos_M81" hidden="1">Dim_Productos_M8[]</definedName>
    <definedName name="_xlcn.WorksheetConnection_PreEntrega_ModeloBI_CornagoMariana.xlsxQ_Transacciones_ETL1" hidden="1">Q_Transacciones_ETL[]</definedName>
    <definedName name="DatosExternos_1" localSheetId="7" hidden="1">Q_Transacciones_ETL!$A$1:$K$54</definedName>
    <definedName name="RangoHistorico">OFFSET(#REF!,0,0,COUNTA(#REF!),13)</definedName>
    <definedName name="SegmentaciónDeDatos_Año">#N/A</definedName>
    <definedName name="SegmentaciónDeDatos_Categoria_Producto">#N/A</definedName>
    <definedName name="SegmentaciónDeDatos_Ciudad_Clien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3"/>
        <x14:slicerCache r:id="rId14"/>
        <x14:slicerCache r:id="rId15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_Transacciones_ETL" name="Q_Transacciones_ETL" connection="WorksheetConnection_PreEntrega_ModeloBI_CornagoMariana.xlsx!Q_Transacciones_ETL"/>
          <x15:modelTable id="Dim_Productos_M8" name="Dim_Productos_M8" connection="WorksheetConnection_PreEntrega_ModeloBI_CornagoMariana.xlsx!Dim_Productos_M8"/>
          <x15:modelTable id="Dim_Clientes_M8" name="Dim_Clientes_M8" connection="WorksheetConnection_PreEntrega_ModeloBI_CornagoMariana.xlsx!Dim_Clientes_M8"/>
          <x15:modelTable id="Dim_Calendario_M8" name="Dim_Calendario_M8" connection="WorksheetConnection_PreEntrega_ModeloBI_CornagoMariana.xlsx!Dim_Calendario_M8"/>
        </x15:modelTables>
        <x15:modelRelationships>
          <x15:modelRelationship fromTable="Q_Transacciones_ETL" fromColumn="Cliente" toTable="Dim_Clientes_M8" toColumn="ID_Cliente"/>
          <x15:modelRelationship fromTable="Q_Transacciones_ETL" fromColumn="ID_Producto" toTable="Dim_Productos_M8" toColumn="ID_Producto"/>
          <x15:modelRelationship fromTable="Q_Transacciones_ETL" fromColumn="Fecha" toTable="Dim_Calendario_M8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42" l="1"/>
  <c r="D22" i="42"/>
  <c r="D21" i="42"/>
  <c r="D20" i="42"/>
  <c r="D19" i="42"/>
  <c r="D18" i="42"/>
  <c r="D15" i="42"/>
  <c r="D14" i="42"/>
  <c r="D11" i="42"/>
  <c r="D10" i="42"/>
  <c r="D9" i="42"/>
  <c r="D8" i="42"/>
  <c r="D7" i="42"/>
  <c r="D6" i="42"/>
  <c r="D5" i="42"/>
  <c r="D4" i="42"/>
  <c r="C23" i="42"/>
  <c r="C22" i="42"/>
  <c r="C21" i="42"/>
  <c r="C20" i="42"/>
  <c r="C19" i="42"/>
  <c r="C18" i="42"/>
  <c r="C15" i="42"/>
  <c r="C14" i="42"/>
  <c r="C11" i="42"/>
  <c r="C10" i="42"/>
  <c r="C9" i="42"/>
  <c r="C8" i="42"/>
  <c r="C7" i="42"/>
  <c r="C6" i="42"/>
  <c r="C5" i="42"/>
  <c r="C4" i="42"/>
  <c r="B23" i="42"/>
  <c r="B22" i="42"/>
  <c r="B21" i="42"/>
  <c r="B20" i="42"/>
  <c r="B19" i="42"/>
  <c r="B18" i="42"/>
  <c r="B15" i="42"/>
  <c r="B14" i="42"/>
  <c r="B11" i="42"/>
  <c r="B10" i="42"/>
  <c r="B9" i="42"/>
  <c r="B8" i="42"/>
  <c r="B7" i="42"/>
  <c r="B6" i="42"/>
  <c r="B5" i="42"/>
  <c r="B4" i="42"/>
  <c r="N54" i="27"/>
  <c r="N53" i="27"/>
  <c r="N52" i="27"/>
  <c r="N51" i="27"/>
  <c r="N50" i="27"/>
  <c r="N49" i="27"/>
  <c r="N48" i="27"/>
  <c r="N47" i="27"/>
  <c r="N46" i="27"/>
  <c r="N45" i="27"/>
  <c r="N44" i="27"/>
  <c r="N43" i="27"/>
  <c r="N42" i="27"/>
  <c r="N41" i="27"/>
  <c r="N40" i="27"/>
  <c r="N39" i="27"/>
  <c r="N38" i="27"/>
  <c r="N37" i="27"/>
  <c r="N36" i="27"/>
  <c r="B26" i="42" s="1"/>
  <c r="N35" i="27"/>
  <c r="N34" i="27"/>
  <c r="N33" i="27"/>
  <c r="N32" i="27"/>
  <c r="N31" i="27"/>
  <c r="N30" i="27"/>
  <c r="N29" i="27"/>
  <c r="N28" i="27"/>
  <c r="N27" i="27"/>
  <c r="N26" i="27"/>
  <c r="N25" i="27"/>
  <c r="N24" i="27"/>
  <c r="N23" i="27"/>
  <c r="N22" i="27"/>
  <c r="N21" i="27"/>
  <c r="N20" i="27"/>
  <c r="N19" i="27"/>
  <c r="N18" i="27"/>
  <c r="N17" i="27"/>
  <c r="N16" i="27"/>
  <c r="N15" i="27"/>
  <c r="N14" i="27"/>
  <c r="N13" i="27"/>
  <c r="N12" i="27"/>
  <c r="N11" i="27"/>
  <c r="N10" i="27"/>
  <c r="N9" i="27"/>
  <c r="N8" i="27"/>
  <c r="N7" i="27"/>
  <c r="N6" i="27"/>
  <c r="N5" i="27"/>
  <c r="N4" i="27"/>
  <c r="N3" i="27"/>
  <c r="N2" i="27"/>
  <c r="I6" i="41" s="1"/>
  <c r="M2" i="27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L2" i="27"/>
  <c r="L3" i="27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E5" i="38"/>
  <c r="C5" i="38"/>
  <c r="B12" i="35"/>
  <c r="B10" i="35"/>
  <c r="D12" i="42" l="1"/>
  <c r="C12" i="42"/>
  <c r="B12" i="42"/>
  <c r="D3" i="42"/>
  <c r="C3" i="42"/>
  <c r="B3" i="42"/>
  <c r="B2" i="42"/>
  <c r="D2" i="42"/>
  <c r="C2" i="42"/>
  <c r="B31" i="42"/>
  <c r="C31" i="42"/>
  <c r="D31" i="42"/>
  <c r="D30" i="42"/>
  <c r="C30" i="42"/>
  <c r="B30" i="42"/>
  <c r="D29" i="42"/>
  <c r="B29" i="42"/>
  <c r="C29" i="42"/>
  <c r="D28" i="42"/>
  <c r="C28" i="42"/>
  <c r="B28" i="42"/>
  <c r="D27" i="42"/>
  <c r="B27" i="42"/>
  <c r="C27" i="42"/>
  <c r="D26" i="42"/>
  <c r="C26" i="42"/>
  <c r="B25" i="42"/>
  <c r="C25" i="42"/>
  <c r="D25" i="42"/>
  <c r="D24" i="42"/>
  <c r="B24" i="42"/>
  <c r="C24" i="42"/>
  <c r="G8" i="42"/>
  <c r="F8" i="42"/>
  <c r="G7" i="42"/>
  <c r="F7" i="42"/>
  <c r="G3" i="42"/>
  <c r="F3" i="42"/>
  <c r="F5" i="42"/>
  <c r="G5" i="42"/>
  <c r="D17" i="42"/>
  <c r="C17" i="42"/>
  <c r="B17" i="42"/>
  <c r="F6" i="42"/>
  <c r="G6" i="42"/>
  <c r="F4" i="42"/>
  <c r="C16" i="42"/>
  <c r="B16" i="42"/>
  <c r="D16" i="42"/>
  <c r="G4" i="42"/>
  <c r="C6" i="41"/>
  <c r="E6" i="41"/>
  <c r="M6" i="41"/>
  <c r="A6" i="41"/>
  <c r="G2" i="42"/>
  <c r="D13" i="42"/>
  <c r="F2" i="42"/>
  <c r="C13" i="42"/>
  <c r="B13" i="42"/>
  <c r="G6" i="41" l="1"/>
  <c r="A4" i="41"/>
  <c r="K6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A3B10-6595-4984-BA6B-7EA86ED8BF28}" keepAlive="1" name="Consulta - gemini-code-1785974050874 (3)" description="Conexión a la consulta 'gemini-code-1785974050874 (3)' en el libro." type="5" refreshedVersion="8" background="1" saveData="1">
    <dbPr connection="Provider=Microsoft.Mashup.OleDb.1;Data Source=$Workbook$;Location=&quot;gemini-code-1785974050874 (3)&quot;;Extended Properties=&quot;&quot;" command="SELECT * FROM [gemini-code-1785974050874 (3)]"/>
  </connection>
  <connection id="2" xr16:uid="{24FF4E34-A6DF-4736-8BFA-F31C0016D74F}" keepAlive="1" name="Consulta - Q_Transacciones_ETL" description="Conexión a la consulta 'Q_Transacciones_ETL' en el libro." type="5" refreshedVersion="8" background="1" saveData="1">
    <dbPr connection="Provider=Microsoft.Mashup.OleDb.1;Data Source=$Workbook$;Location=Q_Transacciones_ETL;Extended Properties=&quot;&quot;" command="SELECT * FROM [Q_Transacciones_ETL]"/>
  </connection>
  <connection id="3" xr16:uid="{B0969BD0-784E-49EE-B5DD-878A3CD66638}" keepAlive="1" name="Query - gemini-code-1785974050874" description="Connection to the 'gemini-code-1785974050874' query in the workbook." type="5" refreshedVersion="8" background="1" saveData="1">
    <dbPr connection="Provider=Microsoft.Mashup.OleDb.1;Data Source=$Workbook$;Location=gemini-code-1785974050874;Extended Properties=&quot;&quot;" command="SELECT * FROM [gemini-code-1785974050874]"/>
  </connection>
  <connection id="4" xr16:uid="{4EB52131-01F2-4CBF-B1EE-400828E18825}" keepAlive="1" name="Query - gemini-code-1785974050874 (2)" description="Connection to the 'gemini-code-1785974050874 (2)' query in the workbook." type="5" refreshedVersion="8" background="1" saveData="1">
    <dbPr connection="Provider=Microsoft.Mashup.OleDb.1;Data Source=$Workbook$;Location=&quot;gemini-code-1785974050874 (2)&quot;;Extended Properties=&quot;&quot;" command="SELECT * FROM [gemini-code-1785974050874 (2)]"/>
  </connection>
  <connection id="5" xr16:uid="{9ED45DE0-DBC5-4BF6-B073-C54ADBB7598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2C6E1CE0-09A5-41FA-A3D7-1300C8C3ED10}" name="WorksheetConnection_PreEntrega_ModeloBI_CornagoMariana.xlsx!Dim_Calendario_M8" type="102" refreshedVersion="8" minRefreshableVersion="5">
    <extLst>
      <ext xmlns:x15="http://schemas.microsoft.com/office/spreadsheetml/2010/11/main" uri="{DE250136-89BD-433C-8126-D09CA5730AF9}">
        <x15:connection id="Dim_Calendario_M8">
          <x15:rangePr sourceName="_xlcn.WorksheetConnection_PreEntrega_ModeloBI_CornagoMariana.xlsxDim_Calendario_M81"/>
        </x15:connection>
      </ext>
    </extLst>
  </connection>
  <connection id="7" xr16:uid="{225D0C87-D629-4706-965B-CE15C8A1728E}" name="WorksheetConnection_PreEntrega_ModeloBI_CornagoMariana.xlsx!Dim_Clientes_M8" type="102" refreshedVersion="8" minRefreshableVersion="5">
    <extLst>
      <ext xmlns:x15="http://schemas.microsoft.com/office/spreadsheetml/2010/11/main" uri="{DE250136-89BD-433C-8126-D09CA5730AF9}">
        <x15:connection id="Dim_Clientes_M8">
          <x15:rangePr sourceName="_xlcn.WorksheetConnection_PreEntrega_ModeloBI_CornagoMariana.xlsxDim_Clientes_M81"/>
        </x15:connection>
      </ext>
    </extLst>
  </connection>
  <connection id="8" xr16:uid="{D474F8ED-3D3D-4BB9-8EE1-667E0FEB7048}" name="WorksheetConnection_PreEntrega_ModeloBI_CornagoMariana.xlsx!Dim_Productos_M8" type="102" refreshedVersion="8" minRefreshableVersion="5">
    <extLst>
      <ext xmlns:x15="http://schemas.microsoft.com/office/spreadsheetml/2010/11/main" uri="{DE250136-89BD-433C-8126-D09CA5730AF9}">
        <x15:connection id="Dim_Productos_M8">
          <x15:rangePr sourceName="_xlcn.WorksheetConnection_PreEntrega_ModeloBI_CornagoMariana.xlsxDim_Productos_M81"/>
        </x15:connection>
      </ext>
    </extLst>
  </connection>
  <connection id="9" xr16:uid="{696DB6A0-9B47-44CE-B2F0-3C9B5D0404E5}" name="WorksheetConnection_PreEntrega_ModeloBI_CornagoMariana.xlsx!Q_Transacciones_ETL" type="102" refreshedVersion="8" minRefreshableVersion="5">
    <extLst>
      <ext xmlns:x15="http://schemas.microsoft.com/office/spreadsheetml/2010/11/main" uri="{DE250136-89BD-433C-8126-D09CA5730AF9}">
        <x15:connection id="Q_Transacciones_ETL">
          <x15:rangePr sourceName="_xlcn.WorksheetConnection_PreEntrega_ModeloBI_CornagoMariana.xlsxQ_Transacciones_ETL1"/>
        </x15:connection>
      </ext>
    </extLst>
  </connection>
</connections>
</file>

<file path=xl/sharedStrings.xml><?xml version="1.0" encoding="utf-8"?>
<sst xmlns="http://schemas.openxmlformats.org/spreadsheetml/2006/main" count="3251" uniqueCount="253">
  <si>
    <t>ID_Venta</t>
  </si>
  <si>
    <t>Fecha</t>
  </si>
  <si>
    <t>Cliente</t>
  </si>
  <si>
    <t>Ciudad_Cliente</t>
  </si>
  <si>
    <t>Producto</t>
  </si>
  <si>
    <t>Categoria_Producto</t>
  </si>
  <si>
    <t>Precio_Unitario</t>
  </si>
  <si>
    <t>Cantidad</t>
  </si>
  <si>
    <t>Total</t>
  </si>
  <si>
    <t>Juan Pérez</t>
  </si>
  <si>
    <t>Buenos Aires</t>
  </si>
  <si>
    <t>juan.perez@email.com</t>
  </si>
  <si>
    <t>Laptop Pro 15</t>
  </si>
  <si>
    <t>Computación</t>
  </si>
  <si>
    <t>Ana Gómez</t>
  </si>
  <si>
    <t>Rosario</t>
  </si>
  <si>
    <t>ana.gomez@email.com</t>
  </si>
  <si>
    <t>Mouse Inalámbrico</t>
  </si>
  <si>
    <t>Accesorios</t>
  </si>
  <si>
    <t>Carlos López</t>
  </si>
  <si>
    <t>Córdoba</t>
  </si>
  <si>
    <t>carlos.lopez@email.com</t>
  </si>
  <si>
    <t>Sofía Martínez</t>
  </si>
  <si>
    <t>Mendoza</t>
  </si>
  <si>
    <t>sofia.martinez@email.com</t>
  </si>
  <si>
    <t>Monitor 27 4K</t>
  </si>
  <si>
    <t>Monitores</t>
  </si>
  <si>
    <t>Lucas Torres</t>
  </si>
  <si>
    <t>Tucumán</t>
  </si>
  <si>
    <t>lucas.torres@email.com</t>
  </si>
  <si>
    <t>Auriculares Bluetooth</t>
  </si>
  <si>
    <t>Audio</t>
  </si>
  <si>
    <t>Camara Web HD</t>
  </si>
  <si>
    <t>Periféricos</t>
  </si>
  <si>
    <t>Diego Fernández</t>
  </si>
  <si>
    <t>Mar del Plata</t>
  </si>
  <si>
    <t>diego.fernandez@email.com</t>
  </si>
  <si>
    <t>Silla Gamer Ergonómica</t>
  </si>
  <si>
    <t>Mobiliario</t>
  </si>
  <si>
    <t>Valentina Romero</t>
  </si>
  <si>
    <t>Salta</t>
  </si>
  <si>
    <t>valentina.romero@email.com</t>
  </si>
  <si>
    <t>Disco Solido SSD 1TB</t>
  </si>
  <si>
    <t>Almacenamiento</t>
  </si>
  <si>
    <t>Mateo Díaz</t>
  </si>
  <si>
    <t>Neuquén</t>
  </si>
  <si>
    <t>mateo.diaz@email.com</t>
  </si>
  <si>
    <t>Camila Benítez</t>
  </si>
  <si>
    <t>Santa Fe</t>
  </si>
  <si>
    <t>camila.benitez@email.com</t>
  </si>
  <si>
    <t>ID_Cliente</t>
  </si>
  <si>
    <t>CLI-101</t>
  </si>
  <si>
    <t>CLI-102</t>
  </si>
  <si>
    <t>CLI-103</t>
  </si>
  <si>
    <t>CLI-104</t>
  </si>
  <si>
    <t>CLI-105</t>
  </si>
  <si>
    <t>CLI-107</t>
  </si>
  <si>
    <t>CLI-108</t>
  </si>
  <si>
    <t>CLI-109</t>
  </si>
  <si>
    <t>CLI-110</t>
  </si>
  <si>
    <t>PROD-01</t>
  </si>
  <si>
    <t>PROD-02</t>
  </si>
  <si>
    <t>PROD-03</t>
  </si>
  <si>
    <t>PROD-04</t>
  </si>
  <si>
    <t>PROD-05</t>
  </si>
  <si>
    <t>PROD-06</t>
  </si>
  <si>
    <t>PROD-07</t>
  </si>
  <si>
    <t>ID_Producto</t>
  </si>
  <si>
    <t>Ciudad</t>
  </si>
  <si>
    <t>Email</t>
  </si>
  <si>
    <t>Categoría</t>
  </si>
  <si>
    <t>Estado</t>
  </si>
  <si>
    <t>Unidades</t>
  </si>
  <si>
    <t>COMPLETO</t>
  </si>
  <si>
    <t>Camara Web Hd</t>
  </si>
  <si>
    <t>Mar Del Plata</t>
  </si>
  <si>
    <t>Disco Solido Ssd 1Tb</t>
  </si>
  <si>
    <t>Año</t>
  </si>
  <si>
    <t>Mes_Num</t>
  </si>
  <si>
    <t>Mes</t>
  </si>
  <si>
    <t>Trimestre</t>
  </si>
  <si>
    <t>Tipo_Día</t>
  </si>
  <si>
    <t>diciembre</t>
  </si>
  <si>
    <t>Hábil</t>
  </si>
  <si>
    <t>Suma</t>
  </si>
  <si>
    <t>Media</t>
  </si>
  <si>
    <t>Mediana</t>
  </si>
  <si>
    <t>Mínimo</t>
  </si>
  <si>
    <t>Máximo</t>
  </si>
  <si>
    <t>Rango</t>
  </si>
  <si>
    <t>ANÁLISIS DE HIPÓTESIS · META DE BENEFICIO</t>
  </si>
  <si>
    <t>Modelo unitario para Buscar objetivo y Administrador de escenarios</t>
  </si>
  <si>
    <t>Supuesto / resultado</t>
  </si>
  <si>
    <t>Valor</t>
  </si>
  <si>
    <t>Precio unitario</t>
  </si>
  <si>
    <t>Costo variable sobre ventas</t>
  </si>
  <si>
    <t>Costo de envío unitario</t>
  </si>
  <si>
    <t>Costos fijos</t>
  </si>
  <si>
    <t>Unidades a vender</t>
  </si>
  <si>
    <t>Beneficio neto</t>
  </si>
  <si>
    <t>Meta del directorio</t>
  </si>
  <si>
    <t>Unidades prácticas redondeadas</t>
  </si>
  <si>
    <t>Buscar objetivo: establecer B10 en $500.000 cambiando B9. Resultado exacto: 21,0526 unidades; decisión operativa: 22 unidades.</t>
  </si>
  <si>
    <t>Costo variable %</t>
  </si>
  <si>
    <t>Envío unitario</t>
  </si>
  <si>
    <t>Pesimista</t>
  </si>
  <si>
    <t>Base</t>
  </si>
  <si>
    <t>Optimista</t>
  </si>
  <si>
    <t>ENTREGA 8 · ARQUITECTURA DEL DATO, DAX Y SIMULACIÓN</t>
  </si>
  <si>
    <t>Guía técnica para inspección y cierre del modelo en Power Query / Power Pivot</t>
  </si>
  <si>
    <t>Componente</t>
  </si>
  <si>
    <t>Definición</t>
  </si>
  <si>
    <t>Hechos</t>
  </si>
  <si>
    <t>Q_Transacciones_ETL · PK operativa ID_Venta</t>
  </si>
  <si>
    <t>Dimensión clientes</t>
  </si>
  <si>
    <t>Dim_Clientes_M8 · PK ID_Cliente</t>
  </si>
  <si>
    <t>Dimensión productos</t>
  </si>
  <si>
    <t>Dim_Productos_M8 · PK ID_Producto</t>
  </si>
  <si>
    <t>Dimensión calendario</t>
  </si>
  <si>
    <t>Dim_Calendario_M8 · PK Fecha</t>
  </si>
  <si>
    <t>Relaciones</t>
  </si>
  <si>
    <t>Dimensiones (1) → Q_Transacciones_ETL (N) por ID_Cliente, ID_Producto y Fecha</t>
  </si>
  <si>
    <t>Carga recomendada</t>
  </si>
  <si>
    <t>Solo conexión + Agregar al Modelo de datos</t>
  </si>
  <si>
    <t>CÓDIGO M · paso manual renombrado y comentario // incluidos</t>
  </si>
  <si>
    <t>let</t>
  </si>
  <si>
    <t>MEDIDAS DAX OPTIMIZADAS · crear en Power Pivot</t>
  </si>
  <si>
    <t>Total Ventas := SUM(Q_Transacciones_ETL[Total])</t>
  </si>
  <si>
    <t>Estadística descriptiva</t>
  </si>
  <si>
    <t>Día_Semana</t>
  </si>
  <si>
    <t>marzo</t>
  </si>
  <si>
    <t>viernes</t>
  </si>
  <si>
    <t>sábado</t>
  </si>
  <si>
    <t>Fin de semana</t>
  </si>
  <si>
    <t>domingo</t>
  </si>
  <si>
    <t>lunes</t>
  </si>
  <si>
    <t>martes</t>
  </si>
  <si>
    <t>miércoles</t>
  </si>
  <si>
    <t>jueves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</si>
  <si>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</si>
  <si>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</si>
  <si>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</si>
  <si>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</si>
  <si>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</si>
  <si>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</si>
  <si>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</si>
  <si>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</si>
  <si>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enero</t>
  </si>
  <si>
    <t>febrero</t>
  </si>
  <si>
    <t>Q_Transacciones_ETL</t>
  </si>
  <si>
    <t>Dim_Calendario_M8</t>
  </si>
  <si>
    <t>Error típico</t>
  </si>
  <si>
    <t>Moda</t>
  </si>
  <si>
    <t>Desviación estándar</t>
  </si>
  <si>
    <t>Varianza de la muestra</t>
  </si>
  <si>
    <t>Curtosis</t>
  </si>
  <si>
    <t>Coeficiente de asimetría</t>
  </si>
  <si>
    <t>Cuenta</t>
  </si>
  <si>
    <t>Creado por mariana virginia cornago el 02/10/2026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</si>
  <si>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</si>
  <si>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</si>
  <si>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</si>
  <si>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</si>
  <si>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</si>
  <si>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</si>
  <si>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PreEntrega_ModeloBI_CornagoMariana</t>
  </si>
  <si>
    <t>CHECKPOINT · Arquitectura del Dato, Optimización de Modelos y Simulación de Escenarios</t>
  </si>
  <si>
    <t>ESTADO GENERAL</t>
  </si>
  <si>
    <t>VENTAS ANALIZADAS</t>
  </si>
  <si>
    <t>MARGEN NETO</t>
  </si>
  <si>
    <t>LISTO PARA ENTREGA</t>
  </si>
  <si>
    <t>CHECKLIST DE EVALUACIÓN</t>
  </si>
  <si>
    <t>Evidencia</t>
  </si>
  <si>
    <t>Power Query + Lenguaje M</t>
  </si>
  <si>
    <t>Consulta de 53 filas con paso renombrado y comentario //</t>
  </si>
  <si>
    <t>Modelo dimensional</t>
  </si>
  <si>
    <t>Tabla de hechos y dimensiones Clientes, Productos y Calendario</t>
  </si>
  <si>
    <t>Relaciones 1:N</t>
  </si>
  <si>
    <t>Tres relaciones funcionales hacia Q_Transacciones_ETL</t>
  </si>
  <si>
    <t>Medidas DAX</t>
  </si>
  <si>
    <t>Total Ventas y Margen Neto con VAR / RETURN</t>
  </si>
  <si>
    <t>Informe oficial en ToolPak_Estadistica</t>
  </si>
  <si>
    <t>Escenarios financieros</t>
  </si>
  <si>
    <t>Pesimista, Base y Optimista en Resumen_Escenarios_Oficial</t>
  </si>
  <si>
    <t>ARQUITECTURA DEL MODELO</t>
  </si>
  <si>
    <t>Tabla</t>
  </si>
  <si>
    <t>Rol</t>
  </si>
  <si>
    <t>Clave / relación</t>
  </si>
  <si>
    <t>53 operaciones de venta</t>
  </si>
  <si>
    <t>Dim_Clientes_M8 · Dim_Productos_M8</t>
  </si>
  <si>
    <t>Dimensiones</t>
  </si>
  <si>
    <t>ID_Cliente · ID_Producto</t>
  </si>
  <si>
    <t>Dimensión temporal</t>
  </si>
  <si>
    <t>Fecha · relación 1:N</t>
  </si>
  <si>
    <t>MODELO COMPLETO · Power Query + Power Pivot + DAX + ToolPak + Análisis de Hipótesis</t>
  </si>
  <si>
    <t>RESUMEN OFICIAL DE ESCENARIOS</t>
  </si>
  <si>
    <t>Checklist final</t>
  </si>
  <si>
    <t>Consulta Power Query · 53 filas</t>
  </si>
  <si>
    <t>Código M · paso renombrado + comentario //</t>
  </si>
  <si>
    <t>Modelo estrella · 3 relaciones 1:N</t>
  </si>
  <si>
    <t>Medidas DAX · Total Ventas + Margen Neto VAR/RETURN</t>
  </si>
  <si>
    <t>Estadística descriptiva · Analysis ToolPak</t>
  </si>
  <si>
    <t>Administrador · Pesimista / Base / Optimista</t>
  </si>
  <si>
    <t>Margen_Estimado</t>
  </si>
  <si>
    <t>Visible_M9</t>
  </si>
  <si>
    <t>Ventas, margen y señales para la toma de decisiones</t>
  </si>
  <si>
    <t>Fuente: Q_Transacciones_ETL · 53 operaciones · marzo 2024 a agosto 2026</t>
  </si>
  <si>
    <t>VENTAS FILTRADAS</t>
  </si>
  <si>
    <t>UNIDADES</t>
  </si>
  <si>
    <t>MARGEN EST.</t>
  </si>
  <si>
    <t>MARGEN %</t>
  </si>
  <si>
    <t>CREC. YoY</t>
  </si>
  <si>
    <t>TICKET PROM.</t>
  </si>
  <si>
    <t>OPERACIONES</t>
  </si>
  <si>
    <t>FILTROS INTERACTIVOS · seleccioná año, categoría y ciudad</t>
  </si>
  <si>
    <t>LECTURA EJECUTIVA · todos los gráficos responden a los filtros superiores</t>
  </si>
  <si>
    <t>NOTAS DE ANÁLISIS · abogado del diablo</t>
  </si>
  <si>
    <t>1) 2026 termina en agosto y concentra operaciones grandes: no equivale a un año completo.
2) Computación lidera por tickets altos; eso no implica mayor recurrencia.
3) La dispersión separa efecto precio y volumen antes de recomendar inversión.</t>
  </si>
  <si>
    <t>Ventas visibles</t>
  </si>
  <si>
    <t>Unidades visibles</t>
  </si>
  <si>
    <t>Margen visible</t>
  </si>
  <si>
    <t>Ventas producto</t>
  </si>
  <si>
    <t>Unidades producto</t>
  </si>
  <si>
    <t>REGISTRO DE PROMPTS · ANÁLISIS ASISTIDO POR IA</t>
  </si>
  <si>
    <t>Entrega 9 · Auditoría cognitiva del Dashboard Final</t>
  </si>
  <si>
    <t>Etapa</t>
  </si>
  <si>
    <t>Prompt utilizado</t>
  </si>
  <si>
    <t>Conclusión humana</t>
  </si>
  <si>
    <t>Respuesta / sesgo detectado</t>
  </si>
  <si>
    <t>Refinamiento aplicado</t>
  </si>
  <si>
    <t>1 · Crecimiento</t>
  </si>
  <si>
    <t>Actuá como abogado del diablo. Las ventas pasan de $353.500 en 2024 a $1.083.000 en 2025 y $1.419.000 en 2026. ¿Qué podría invalidar la conclusión de crecimiento sostenido?</t>
  </si>
  <si>
    <t>Las ventas crecen año contra año.</t>
  </si>
  <si>
    <t>2026 es parcial hasta agosto y contiene operaciones grandes concentradas; no es directamente comparable.</t>
  </si>
  <si>
    <t>Advertencia narrativa y KPI YoY dinámico.</t>
  </si>
  <si>
    <t>53 operaciones · marzo 2024 a agosto 2026</t>
  </si>
  <si>
    <t>2 · Concentración</t>
  </si>
  <si>
    <t>Computación aporta $1.080.000 y parece líder. Buscá riesgos de interpretación y explicaciones alternativas.</t>
  </si>
  <si>
    <t>Computación es el principal motor.</t>
  </si>
  <si>
    <t>El liderazgo depende de tickets altos; no implica mayor frecuencia, unidades ni diversificación.</t>
  </si>
  <si>
    <t>Dispersión de unidades vs ventas por producto.</t>
  </si>
  <si>
    <t>Producto, categoría, cantidad y total</t>
  </si>
  <si>
    <t>3 · Acción</t>
  </si>
  <si>
    <t>Proponé una decisión que no confunda correlación con causalidad.</t>
  </si>
  <si>
    <t>Conviene impulsar la categoría líder.</t>
  </si>
  <si>
    <t>Separar efecto precio, volumen, cliente y ciudad; 53 casos no prueban causalidad.</t>
  </si>
  <si>
    <t>Slicers de Año, Categoría y Ciudad.</t>
  </si>
  <si>
    <t>Filtros interactivos del dashboard</t>
  </si>
  <si>
    <t>LIMITACIONES Y USO RESPONSABLE</t>
  </si>
  <si>
    <t>El margen de 35% es una estimación consistente con la medida previa ($999.425 sobre $2.855.500), no un costo real por transacción. Los datos cubren marzo 2024–agosto 2026 y solo 53 operaciones; las conclusiones son descriptivas, no causales. La IA se usó para cuestionar supuestos y proponer verificaciones, no para reemplazar la interpretación humana.</t>
  </si>
  <si>
    <t>Mariana Virginia Cornago · Entrega 9 · 02/10/2026</t>
  </si>
  <si>
    <t>Mariana Virginia Cornago · 02/10/2026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</si>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</sst>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2C0A]\ #,##0"/>
    <numFmt numFmtId="165" formatCode="0.0%"/>
    <numFmt numFmtId="166" formatCode="0.0000"/>
    <numFmt numFmtId="167" formatCode="[$$-2C0A]\ #,##0.00"/>
    <numFmt numFmtId="169" formatCode="0.0%;[Red]\-0.0%;&quot;s/d&quot;"/>
    <numFmt numFmtId="170" formatCode="mmm\ yyyy"/>
    <numFmt numFmtId="171" formatCode="[$$-409]#,##0"/>
  </numFmts>
  <fonts count="34" x14ac:knownFonts="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0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b/>
      <sz val="18"/>
      <color rgb="FF17365D"/>
      <name val="Aptos"/>
      <family val="2"/>
    </font>
    <font>
      <b/>
      <sz val="10"/>
      <color rgb="FFFFFFFF"/>
      <name val="Aptos"/>
      <family val="2"/>
    </font>
    <font>
      <sz val="11"/>
      <color rgb="FF17365D"/>
      <name val="Aptos Narrow"/>
      <family val="2"/>
      <scheme val="minor"/>
    </font>
    <font>
      <i/>
      <sz val="10"/>
      <color rgb="FF17365D"/>
      <name val="Aptos"/>
      <family val="2"/>
    </font>
    <font>
      <i/>
      <sz val="11"/>
      <color rgb="FF17365D"/>
      <name val="Aptos Narrow"/>
      <family val="2"/>
      <scheme val="minor"/>
    </font>
    <font>
      <sz val="10"/>
      <color theme="1"/>
      <name val="Consolas"/>
      <family val="3"/>
    </font>
    <font>
      <b/>
      <sz val="10"/>
      <color theme="1"/>
      <name val="Aptos"/>
      <family val="2"/>
    </font>
    <font>
      <b/>
      <sz val="20"/>
      <color rgb="FFFFFFFF"/>
      <name val="Aptos"/>
      <family val="2"/>
    </font>
    <font>
      <sz val="11"/>
      <color rgb="FF17365D"/>
      <name val="Aptos"/>
      <family val="2"/>
    </font>
    <font>
      <b/>
      <sz val="10"/>
      <color rgb="FF375623"/>
      <name val="Aptos"/>
      <family val="2"/>
    </font>
    <font>
      <b/>
      <sz val="15"/>
      <color rgb="FF375623"/>
      <name val="Aptos"/>
      <family val="2"/>
    </font>
    <font>
      <b/>
      <sz val="10"/>
      <color rgb="FF17365D"/>
      <name val="Aptos"/>
      <family val="2"/>
    </font>
    <font>
      <b/>
      <sz val="10"/>
      <color indexed="9"/>
      <name val="Aptos"/>
      <family val="2"/>
    </font>
    <font>
      <b/>
      <sz val="10"/>
      <color indexed="8"/>
      <name val="Aptos"/>
      <family val="2"/>
    </font>
    <font>
      <b/>
      <sz val="10"/>
      <color rgb="FF5B6573"/>
      <name val="Aptos"/>
      <family val="2"/>
    </font>
    <font>
      <i/>
      <sz val="10"/>
      <color rgb="FF5B6573"/>
      <name val="Aptos"/>
      <family val="2"/>
    </font>
    <font>
      <b/>
      <i/>
      <sz val="15"/>
      <color rgb="FFFFFFFF"/>
      <name val="Aptos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"/>
    </font>
    <font>
      <b/>
      <sz val="11"/>
      <color rgb="FFFFFFFF"/>
      <name val="Aptos Narrow"/>
      <family val="2"/>
      <scheme val="minor"/>
    </font>
    <font>
      <b/>
      <sz val="22"/>
      <color rgb="FF17324D"/>
      <name val="Aptos"/>
    </font>
    <font>
      <sz val="11"/>
      <color theme="1"/>
      <name val="Aptos"/>
    </font>
    <font>
      <b/>
      <sz val="12"/>
      <color rgb="FF2F6B6D"/>
      <name val="Aptos"/>
    </font>
    <font>
      <sz val="9"/>
      <color rgb="FF607080"/>
      <name val="Aptos"/>
    </font>
    <font>
      <b/>
      <sz val="9"/>
      <color rgb="FFFFFFFF"/>
      <name val="Aptos"/>
    </font>
    <font>
      <b/>
      <sz val="18"/>
      <color rgb="FF17324D"/>
      <name val="Aptos"/>
    </font>
    <font>
      <b/>
      <sz val="11"/>
      <color rgb="FFFFFFFF"/>
      <name val="Aptos"/>
    </font>
    <font>
      <sz val="10"/>
      <color rgb="FF263746"/>
      <name val="Aptos"/>
    </font>
    <font>
      <i/>
      <sz val="11"/>
      <color rgb="FF60708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1F7A8C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2F6B6D"/>
        <bgColor indexed="64"/>
      </patternFill>
    </fill>
    <fill>
      <patternFill patternType="solid">
        <fgColor rgb="FFD9A44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1" fillId="4" borderId="0" xfId="0" applyFont="1" applyFill="1"/>
    <xf numFmtId="0" fontId="7" fillId="2" borderId="0" xfId="0" applyFont="1" applyFill="1"/>
    <xf numFmtId="0" fontId="9" fillId="2" borderId="0" xfId="0" applyFont="1" applyFill="1"/>
    <xf numFmtId="0" fontId="6" fillId="7" borderId="0" xfId="0" applyFont="1" applyFill="1"/>
    <xf numFmtId="165" fontId="2" fillId="3" borderId="0" xfId="0" applyNumberFormat="1" applyFont="1" applyFill="1"/>
    <xf numFmtId="166" fontId="2" fillId="3" borderId="0" xfId="0" applyNumberFormat="1" applyFont="1" applyFill="1"/>
    <xf numFmtId="167" fontId="2" fillId="0" borderId="0" xfId="0" applyNumberFormat="1" applyFont="1"/>
    <xf numFmtId="167" fontId="2" fillId="3" borderId="0" xfId="0" applyNumberFormat="1" applyFont="1" applyFill="1"/>
    <xf numFmtId="0" fontId="6" fillId="7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11" fillId="13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14" fillId="8" borderId="0" xfId="0" applyFont="1" applyFill="1" applyAlignment="1">
      <alignment wrapText="1"/>
    </xf>
    <xf numFmtId="0" fontId="17" fillId="6" borderId="1" xfId="0" applyFont="1" applyFill="1" applyBorder="1" applyAlignment="1">
      <alignment horizontal="left"/>
    </xf>
    <xf numFmtId="0" fontId="18" fillId="6" borderId="0" xfId="0" applyFont="1" applyFill="1" applyAlignment="1">
      <alignment horizontal="left"/>
    </xf>
    <xf numFmtId="0" fontId="2" fillId="6" borderId="0" xfId="0" applyFont="1" applyFill="1" applyAlignment="1">
      <alignment vertical="top" wrapText="1"/>
    </xf>
    <xf numFmtId="167" fontId="2" fillId="6" borderId="0" xfId="0" applyNumberFormat="1" applyFont="1" applyFill="1"/>
    <xf numFmtId="165" fontId="2" fillId="6" borderId="0" xfId="0" applyNumberFormat="1" applyFont="1" applyFill="1"/>
    <xf numFmtId="166" fontId="2" fillId="6" borderId="0" xfId="0" applyNumberFormat="1" applyFont="1" applyFill="1"/>
    <xf numFmtId="0" fontId="18" fillId="6" borderId="4" xfId="0" applyFont="1" applyFill="1" applyBorder="1" applyAlignment="1">
      <alignment horizontal="left"/>
    </xf>
    <xf numFmtId="167" fontId="2" fillId="6" borderId="4" xfId="0" applyNumberFormat="1" applyFont="1" applyFill="1" applyBorder="1"/>
    <xf numFmtId="0" fontId="6" fillId="7" borderId="1" xfId="0" applyFont="1" applyFill="1" applyBorder="1" applyAlignment="1">
      <alignment horizontal="right"/>
    </xf>
    <xf numFmtId="0" fontId="16" fillId="2" borderId="2" xfId="0" applyFont="1" applyFill="1" applyBorder="1" applyAlignment="1">
      <alignment horizontal="left"/>
    </xf>
    <xf numFmtId="0" fontId="16" fillId="2" borderId="2" xfId="0" applyFont="1" applyFill="1" applyBorder="1"/>
    <xf numFmtId="0" fontId="19" fillId="6" borderId="0" xfId="0" applyFont="1" applyFill="1" applyAlignment="1">
      <alignment horizontal="left"/>
    </xf>
    <xf numFmtId="0" fontId="19" fillId="2" borderId="2" xfId="0" applyFont="1" applyFill="1" applyBorder="1" applyAlignment="1">
      <alignment horizontal="left"/>
    </xf>
    <xf numFmtId="0" fontId="19" fillId="6" borderId="4" xfId="0" applyFont="1" applyFill="1" applyBorder="1" applyAlignment="1">
      <alignment horizontal="left"/>
    </xf>
    <xf numFmtId="167" fontId="2" fillId="9" borderId="0" xfId="0" applyNumberFormat="1" applyFont="1" applyFill="1"/>
    <xf numFmtId="165" fontId="2" fillId="9" borderId="0" xfId="0" applyNumberFormat="1" applyFont="1" applyFill="1"/>
    <xf numFmtId="166" fontId="2" fillId="9" borderId="0" xfId="0" applyNumberFormat="1" applyFont="1" applyFill="1"/>
    <xf numFmtId="167" fontId="11" fillId="8" borderId="4" xfId="0" applyNumberFormat="1" applyFont="1" applyFill="1" applyBorder="1"/>
    <xf numFmtId="0" fontId="20" fillId="6" borderId="0" xfId="0" applyFont="1" applyFill="1" applyAlignment="1">
      <alignment wrapText="1"/>
    </xf>
    <xf numFmtId="0" fontId="21" fillId="4" borderId="5" xfId="0" applyFont="1" applyFill="1" applyBorder="1" applyAlignment="1">
      <alignment horizontal="centerContinuous"/>
    </xf>
    <xf numFmtId="0" fontId="16" fillId="2" borderId="0" xfId="0" applyFont="1" applyFill="1"/>
    <xf numFmtId="0" fontId="16" fillId="2" borderId="4" xfId="0" applyFont="1" applyFill="1" applyBorder="1"/>
    <xf numFmtId="4" fontId="2" fillId="0" borderId="0" xfId="0" applyNumberFormat="1" applyFont="1"/>
    <xf numFmtId="2" fontId="2" fillId="0" borderId="0" xfId="0" applyNumberFormat="1" applyFont="1"/>
    <xf numFmtId="1" fontId="2" fillId="0" borderId="4" xfId="0" applyNumberFormat="1" applyFont="1" applyBorder="1"/>
    <xf numFmtId="0" fontId="11" fillId="8" borderId="0" xfId="0" applyFont="1" applyFill="1"/>
    <xf numFmtId="167" fontId="11" fillId="8" borderId="0" xfId="0" applyNumberFormat="1" applyFont="1" applyFill="1"/>
    <xf numFmtId="1" fontId="11" fillId="8" borderId="0" xfId="0" applyNumberFormat="1" applyFont="1" applyFill="1"/>
    <xf numFmtId="14" fontId="2" fillId="0" borderId="0" xfId="0" applyNumberFormat="1" applyFont="1"/>
    <xf numFmtId="0" fontId="4" fillId="4" borderId="3" xfId="0" applyFont="1" applyFill="1" applyBorder="1" applyAlignment="1">
      <alignment horizontal="center"/>
    </xf>
    <xf numFmtId="0" fontId="2" fillId="13" borderId="0" xfId="0" applyFont="1" applyFill="1" applyAlignment="1">
      <alignment wrapText="1"/>
    </xf>
    <xf numFmtId="0" fontId="16" fillId="10" borderId="0" xfId="0" applyFont="1" applyFill="1" applyAlignment="1">
      <alignment horizontal="center" wrapText="1"/>
    </xf>
    <xf numFmtId="0" fontId="6" fillId="1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12" fillId="4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5" fillId="8" borderId="0" xfId="0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3" fillId="4" borderId="0" xfId="0" applyFont="1" applyFill="1"/>
    <xf numFmtId="0" fontId="11" fillId="13" borderId="0" xfId="0" applyFont="1" applyFill="1" applyAlignment="1">
      <alignment wrapText="1"/>
    </xf>
    <xf numFmtId="0" fontId="4" fillId="4" borderId="0" xfId="0" applyFont="1" applyFill="1"/>
    <xf numFmtId="0" fontId="8" fillId="2" borderId="0" xfId="0" applyFont="1" applyFill="1"/>
    <xf numFmtId="0" fontId="2" fillId="5" borderId="0" xfId="0" applyFont="1" applyFill="1" applyAlignment="1">
      <alignment wrapText="1"/>
    </xf>
    <xf numFmtId="0" fontId="10" fillId="0" borderId="0" xfId="0" applyFont="1"/>
    <xf numFmtId="0" fontId="2" fillId="0" borderId="0" xfId="0" applyFont="1"/>
    <xf numFmtId="0" fontId="4" fillId="4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6" fillId="7" borderId="0" xfId="0" applyFont="1" applyFill="1"/>
    <xf numFmtId="0" fontId="23" fillId="0" borderId="0" xfId="0" applyNumberFormat="1" applyFont="1"/>
    <xf numFmtId="0" fontId="23" fillId="0" borderId="0" xfId="0" applyFont="1"/>
    <xf numFmtId="1" fontId="23" fillId="0" borderId="0" xfId="0" applyNumberFormat="1" applyFont="1"/>
    <xf numFmtId="0" fontId="0" fillId="0" borderId="0" xfId="0" applyAlignment="1">
      <alignment wrapText="1"/>
    </xf>
    <xf numFmtId="170" fontId="0" fillId="0" borderId="0" xfId="0" applyNumberFormat="1"/>
    <xf numFmtId="3" fontId="0" fillId="0" borderId="0" xfId="0" applyNumberFormat="1"/>
    <xf numFmtId="0" fontId="1" fillId="15" borderId="0" xfId="0" applyFont="1" applyFill="1"/>
    <xf numFmtId="0" fontId="24" fillId="16" borderId="0" xfId="0" applyFont="1" applyFill="1"/>
    <xf numFmtId="0" fontId="0" fillId="0" borderId="0" xfId="0" applyAlignment="1">
      <alignment wrapText="1"/>
    </xf>
    <xf numFmtId="0" fontId="22" fillId="17" borderId="0" xfId="0" applyFont="1" applyFill="1"/>
    <xf numFmtId="0" fontId="25" fillId="14" borderId="0" xfId="0" applyFont="1" applyFill="1"/>
    <xf numFmtId="0" fontId="26" fillId="14" borderId="0" xfId="0" applyFont="1" applyFill="1"/>
    <xf numFmtId="0" fontId="27" fillId="14" borderId="0" xfId="0" applyFont="1" applyFill="1"/>
    <xf numFmtId="0" fontId="28" fillId="14" borderId="0" xfId="0" applyFont="1" applyFill="1"/>
    <xf numFmtId="0" fontId="26" fillId="0" borderId="0" xfId="0" applyFont="1"/>
    <xf numFmtId="0" fontId="29" fillId="15" borderId="0" xfId="0" applyFont="1" applyFill="1"/>
    <xf numFmtId="0" fontId="30" fillId="6" borderId="0" xfId="0" applyFont="1" applyFill="1"/>
    <xf numFmtId="3" fontId="30" fillId="6" borderId="0" xfId="0" applyNumberFormat="1" applyFont="1" applyFill="1"/>
    <xf numFmtId="165" fontId="30" fillId="6" borderId="0" xfId="0" applyNumberFormat="1" applyFont="1" applyFill="1"/>
    <xf numFmtId="169" fontId="30" fillId="6" borderId="0" xfId="0" applyNumberFormat="1" applyFont="1" applyFill="1"/>
    <xf numFmtId="0" fontId="31" fillId="16" borderId="0" xfId="0" applyFont="1" applyFill="1"/>
    <xf numFmtId="0" fontId="31" fillId="15" borderId="0" xfId="0" applyFont="1" applyFill="1"/>
    <xf numFmtId="0" fontId="32" fillId="0" borderId="0" xfId="0" applyFont="1" applyAlignment="1">
      <alignment vertical="top" wrapText="1"/>
    </xf>
    <xf numFmtId="0" fontId="33" fillId="0" borderId="0" xfId="0" applyFont="1"/>
    <xf numFmtId="171" fontId="30" fillId="6" borderId="0" xfId="0" applyNumberFormat="1" applyFont="1" applyFill="1"/>
    <xf numFmtId="171" fontId="0" fillId="0" borderId="0" xfId="0" applyNumberFormat="1"/>
    <xf numFmtId="171" fontId="23" fillId="0" borderId="0" xfId="0" applyNumberFormat="1" applyFont="1"/>
    <xf numFmtId="0" fontId="33" fillId="0" borderId="0" xfId="0" applyFont="1" applyAlignment="1">
      <alignment horizontal="right"/>
    </xf>
  </cellXfs>
  <cellStyles count="1">
    <cellStyle name="Normal" xfId="0" builtinId="0"/>
  </cellStyles>
  <dxfs count="41">
    <dxf>
      <font>
        <sz val="10"/>
        <name val="Aptos"/>
      </font>
      <numFmt numFmtId="171" formatCode="[$$-409]#,##0"/>
    </dxf>
    <dxf>
      <font>
        <color rgb="FFA12622"/>
      </font>
      <fill>
        <patternFill patternType="solid">
          <fgColor indexed="64"/>
          <bgColor rgb="FFFBE0E0"/>
        </patternFill>
      </fill>
    </dxf>
    <dxf>
      <font>
        <color rgb="FF17643A"/>
      </font>
      <fill>
        <patternFill patternType="solid">
          <fgColor indexed="64"/>
          <bgColor rgb="FFDCEFE4"/>
        </patternFill>
      </fill>
    </dxf>
    <dxf>
      <font>
        <color rgb="FF8A5A00"/>
      </font>
      <fill>
        <patternFill patternType="solid">
          <fgColor indexed="64"/>
          <bgColor rgb="FFFFF1D6"/>
        </patternFill>
      </fill>
    </dxf>
    <dxf>
      <font>
        <color rgb="FF17643A"/>
      </font>
      <fill>
        <patternFill patternType="solid">
          <fgColor indexed="64"/>
          <bgColor rgb="FFDCEFE4"/>
        </patternFill>
      </fill>
    </dxf>
    <dxf>
      <font>
        <sz val="10"/>
        <name val="Aptos"/>
      </font>
      <numFmt numFmtId="1" formatCode="0"/>
    </dxf>
    <dxf>
      <font>
        <sz val="10"/>
        <name val="Aptos"/>
      </font>
      <numFmt numFmtId="0" formatCode="General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19" formatCode="dd/mm/yyyy"/>
    </dxf>
    <dxf>
      <font>
        <sz val="10"/>
        <name val="Aptos"/>
      </font>
    </dxf>
    <dxf>
      <font>
        <sz val="10"/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7" formatCode="[$$-2C0A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sz val="10"/>
        <name val="Aptos"/>
      </font>
      <numFmt numFmtId="167" formatCode="[$$-2C0A]\ #,##0.00"/>
    </dxf>
    <dxf>
      <font>
        <sz val="10"/>
        <name val="Aptos"/>
      </font>
      <numFmt numFmtId="0" formatCode="General"/>
    </dxf>
    <dxf>
      <font>
        <sz val="10"/>
        <name val="Aptos"/>
      </font>
      <numFmt numFmtId="0" formatCode="General"/>
    </dxf>
    <dxf>
      <font>
        <sz val="10"/>
        <name val="Aptos"/>
      </font>
      <numFmt numFmtId="0" formatCode="General"/>
    </dxf>
    <dxf>
      <font>
        <sz val="10"/>
        <name val="Aptos"/>
      </font>
      <numFmt numFmtId="0" formatCode="General"/>
    </dxf>
    <dxf>
      <font>
        <sz val="10"/>
        <name val="Aptos"/>
      </font>
      <numFmt numFmtId="167" formatCode="[$$-2C0A]\ #,##0.00"/>
    </dxf>
    <dxf>
      <font>
        <sz val="10"/>
        <name val="Aptos"/>
      </font>
    </dxf>
    <dxf>
      <font>
        <sz val="10"/>
        <name val="Aptos"/>
      </font>
      <numFmt numFmtId="0" formatCode="General"/>
    </dxf>
    <dxf>
      <font>
        <sz val="10"/>
        <name val="Aptos"/>
      </font>
      <numFmt numFmtId="0" formatCode="General"/>
    </dxf>
    <dxf>
      <font>
        <sz val="10"/>
        <name val="Aptos"/>
      </font>
      <numFmt numFmtId="19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24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acelera, pero agosto concentra el salto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24D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Ventas</c:v>
          </c:tx>
          <c:spPr>
            <a:ln w="31750" cap="rnd">
              <a:solidFill>
                <a:srgbClr val="2F6B6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Soporte_Dashboard_M9!$A$2:$A$31</c:f>
              <c:numCache>
                <c:formatCode>mmm\ yyyy</c:formatCode>
                <c:ptCount val="30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  <c:pt idx="15">
                  <c:v>45809</c:v>
                </c:pt>
                <c:pt idx="16">
                  <c:v>45839</c:v>
                </c:pt>
                <c:pt idx="17">
                  <c:v>45870</c:v>
                </c:pt>
                <c:pt idx="18">
                  <c:v>45901</c:v>
                </c:pt>
                <c:pt idx="19">
                  <c:v>45931</c:v>
                </c:pt>
                <c:pt idx="20">
                  <c:v>45962</c:v>
                </c:pt>
                <c:pt idx="21">
                  <c:v>45992</c:v>
                </c:pt>
                <c:pt idx="22">
                  <c:v>46023</c:v>
                </c:pt>
                <c:pt idx="23">
                  <c:v>46054</c:v>
                </c:pt>
                <c:pt idx="24">
                  <c:v>46082</c:v>
                </c:pt>
                <c:pt idx="25">
                  <c:v>46113</c:v>
                </c:pt>
                <c:pt idx="26">
                  <c:v>46143</c:v>
                </c:pt>
                <c:pt idx="27">
                  <c:v>46174</c:v>
                </c:pt>
                <c:pt idx="28">
                  <c:v>46204</c:v>
                </c:pt>
                <c:pt idx="29">
                  <c:v>46235</c:v>
                </c:pt>
              </c:numCache>
            </c:numRef>
          </c:cat>
          <c:val>
            <c:numRef>
              <c:f>Soporte_Dashboard_M9!$B$2:$B$31</c:f>
              <c:numCache>
                <c:formatCode>[$$-409]#,##0</c:formatCode>
                <c:ptCount val="30"/>
                <c:pt idx="0">
                  <c:v>228500</c:v>
                </c:pt>
                <c:pt idx="1">
                  <c:v>125000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165000</c:v>
                </c:pt>
                <c:pt idx="11">
                  <c:v>560500</c:v>
                </c:pt>
                <c:pt idx="12">
                  <c:v>0</c:v>
                </c:pt>
                <c:pt idx="13">
                  <c:v>0</c:v>
                </c:pt>
                <c:pt idx="14">
                  <c:v>96500</c:v>
                </c:pt>
                <c:pt idx="15">
                  <c:v>261000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41500</c:v>
                </c:pt>
                <c:pt idx="23">
                  <c:v>223500</c:v>
                </c:pt>
                <c:pt idx="24">
                  <c:v>127000</c:v>
                </c:pt>
                <c:pt idx="25">
                  <c:v>120000</c:v>
                </c:pt>
                <c:pt idx="26">
                  <c:v>299000</c:v>
                </c:pt>
                <c:pt idx="27">
                  <c:v>12000</c:v>
                </c:pt>
                <c:pt idx="28">
                  <c:v>56000</c:v>
                </c:pt>
                <c:pt idx="29">
                  <c:v>540000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4-4E8D-B3E5-3406A1A36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189808"/>
        <c:axId val="462812464"/>
      </c:lineChart>
      <c:dateAx>
        <c:axId val="174818980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2812464"/>
        <c:crosses val="autoZero"/>
        <c:auto val="0"/>
        <c:lblOffset val="100"/>
        <c:baseTimeUnit val="months"/>
      </c:dateAx>
      <c:valAx>
        <c:axId val="4628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81898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24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Laptops explican el 42% de la facturación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24D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Ventas por producto</c:v>
          </c:tx>
          <c:spPr>
            <a:solidFill>
              <a:srgbClr val="2F6B6D"/>
            </a:solidFill>
            <a:ln>
              <a:noFill/>
            </a:ln>
            <a:effectLst/>
          </c:spPr>
          <c:invertIfNegative val="0"/>
          <c:dLbls>
            <c:numFmt formatCode="[$$-409]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Soporte_Dashboard_M9!$E$2:$E$8</c:f>
              <c:strCache>
                <c:ptCount val="7"/>
                <c:pt idx="0">
                  <c:v>Laptop Pro 15</c:v>
                </c:pt>
                <c:pt idx="1">
                  <c:v>Mouse Inalámbrico</c:v>
                </c:pt>
                <c:pt idx="2">
                  <c:v>Monitor 27 4K</c:v>
                </c:pt>
                <c:pt idx="3">
                  <c:v>Auriculares Bluetooth</c:v>
                </c:pt>
                <c:pt idx="4">
                  <c:v>Camara Web Hd</c:v>
                </c:pt>
                <c:pt idx="5">
                  <c:v>Silla Gamer Ergonómica</c:v>
                </c:pt>
                <c:pt idx="6">
                  <c:v>Disco Solido Ssd 1Tb</c:v>
                </c:pt>
              </c:strCache>
            </c:strRef>
          </c:cat>
          <c:val>
            <c:numRef>
              <c:f>Soporte_Dashboard_M9!$F$2:$F$8</c:f>
              <c:numCache>
                <c:formatCode>[$$-409]#,##0</c:formatCode>
                <c:ptCount val="7"/>
                <c:pt idx="0">
                  <c:v>1200000</c:v>
                </c:pt>
                <c:pt idx="1">
                  <c:v>45000</c:v>
                </c:pt>
                <c:pt idx="2">
                  <c:v>450000</c:v>
                </c:pt>
                <c:pt idx="3">
                  <c:v>297000</c:v>
                </c:pt>
                <c:pt idx="4">
                  <c:v>78000</c:v>
                </c:pt>
                <c:pt idx="5">
                  <c:v>700000</c:v>
                </c:pt>
                <c:pt idx="6">
                  <c:v>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A-4066-A313-49E1827C2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8074736"/>
        <c:axId val="462847024"/>
      </c:barChart>
      <c:catAx>
        <c:axId val="174807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2847024"/>
        <c:crosses val="autoZero"/>
        <c:auto val="1"/>
        <c:lblAlgn val="ctr"/>
        <c:lblOffset val="100"/>
        <c:noMultiLvlLbl val="0"/>
      </c:catAx>
      <c:valAx>
        <c:axId val="46284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80747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24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 tickets altos, más que el volumen, impulsan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24D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Laptop Pro 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Soporte_Dashboard_M9!$G$2</c:f>
              <c:numCache>
                <c:formatCode>#,##0</c:formatCode>
                <c:ptCount val="1"/>
                <c:pt idx="0">
                  <c:v>10</c:v>
                </c:pt>
              </c:numCache>
            </c:numRef>
          </c:xVal>
          <c:yVal>
            <c:numRef>
              <c:f>Soporte_Dashboard_M9!$F$2</c:f>
              <c:numCache>
                <c:formatCode>[$$-409]#,##0</c:formatCode>
                <c:ptCount val="1"/>
                <c:pt idx="0">
                  <c:v>1200000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7-40D2-82FD-8F879EBBAFA9}"/>
            </c:ext>
          </c:extLst>
        </c:ser>
        <c:ser>
          <c:idx val="2"/>
          <c:order val="1"/>
          <c:tx>
            <c:v>Mouse Inalámbrico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Soporte_Dashboard_M9!$G$3</c:f>
              <c:numCache>
                <c:formatCode>#,##0</c:formatCode>
                <c:ptCount val="1"/>
                <c:pt idx="0">
                  <c:v>18</c:v>
                </c:pt>
              </c:numCache>
            </c:numRef>
          </c:xVal>
          <c:yVal>
            <c:numRef>
              <c:f>Soporte_Dashboard_M9!$F$3</c:f>
              <c:numCache>
                <c:formatCode>[$$-409]#,##0</c:formatCode>
                <c:ptCount val="1"/>
                <c:pt idx="0">
                  <c:v>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7-40D2-82FD-8F879EBBAFA9}"/>
            </c:ext>
          </c:extLst>
        </c:ser>
        <c:ser>
          <c:idx val="3"/>
          <c:order val="2"/>
          <c:tx>
            <c:v>Monitor 27 4K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Soporte_Dashboard_M9!$G$4</c:f>
              <c:numCache>
                <c:formatCode>#,##0</c:formatCode>
                <c:ptCount val="1"/>
                <c:pt idx="0">
                  <c:v>10</c:v>
                </c:pt>
              </c:numCache>
            </c:numRef>
          </c:xVal>
          <c:yVal>
            <c:numRef>
              <c:f>Soporte_Dashboard_M9!$F$4</c:f>
              <c:numCache>
                <c:formatCode>[$$-409]#,##0</c:formatCode>
                <c:ptCount val="1"/>
                <c:pt idx="0">
                  <c:v>450000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87-40D2-82FD-8F879EBBAFA9}"/>
            </c:ext>
          </c:extLst>
        </c:ser>
        <c:ser>
          <c:idx val="4"/>
          <c:order val="3"/>
          <c:tx>
            <c:v>Auriculares Bluetooth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Soporte_Dashboard_M9!$G$5</c:f>
              <c:numCache>
                <c:formatCode>#,##0</c:formatCode>
                <c:ptCount val="1"/>
                <c:pt idx="0">
                  <c:v>27</c:v>
                </c:pt>
              </c:numCache>
            </c:numRef>
          </c:xVal>
          <c:yVal>
            <c:numRef>
              <c:f>Soporte_Dashboard_M9!$F$5</c:f>
              <c:numCache>
                <c:formatCode>[$$-409]#,##0</c:formatCode>
                <c:ptCount val="1"/>
                <c:pt idx="0">
                  <c:v>297000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87-40D2-82FD-8F879EBBAFA9}"/>
            </c:ext>
          </c:extLst>
        </c:ser>
        <c:ser>
          <c:idx val="5"/>
          <c:order val="4"/>
          <c:tx>
            <c:v>Camara Web Hd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Soporte_Dashboard_M9!$G$6</c:f>
              <c:numCache>
                <c:formatCode>#,##0</c:formatCode>
                <c:ptCount val="1"/>
                <c:pt idx="0">
                  <c:v>12</c:v>
                </c:pt>
              </c:numCache>
            </c:numRef>
          </c:xVal>
          <c:yVal>
            <c:numRef>
              <c:f>Soporte_Dashboard_M9!$F$6</c:f>
              <c:numCache>
                <c:formatCode>[$$-409]#,##0</c:formatCode>
                <c:ptCount val="1"/>
                <c:pt idx="0">
                  <c:v>78000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87-40D2-82FD-8F879EBBAFA9}"/>
            </c:ext>
          </c:extLst>
        </c:ser>
        <c:ser>
          <c:idx val="6"/>
          <c:order val="5"/>
          <c:tx>
            <c:v>Silla Gamer Ergonómica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Soporte_Dashboard_M9!$G$7</c:f>
              <c:numCache>
                <c:formatCode>#,##0</c:formatCode>
                <c:ptCount val="1"/>
                <c:pt idx="0">
                  <c:v>25</c:v>
                </c:pt>
              </c:numCache>
            </c:numRef>
          </c:xVal>
          <c:yVal>
            <c:numRef>
              <c:f>Soporte_Dashboard_M9!$F$7</c:f>
              <c:numCache>
                <c:formatCode>[$$-409]#,##0</c:formatCode>
                <c:ptCount val="1"/>
                <c:pt idx="0">
                  <c:v>700000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87-40D2-82FD-8F879EBBAFA9}"/>
            </c:ext>
          </c:extLst>
        </c:ser>
        <c:ser>
          <c:idx val="7"/>
          <c:order val="6"/>
          <c:tx>
            <c:v>Disco Solido Ssd 1Tb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Soporte_Dashboard_M9!$G$8</c:f>
              <c:numCache>
                <c:formatCode>#,##0</c:formatCode>
                <c:ptCount val="1"/>
                <c:pt idx="0">
                  <c:v>9</c:v>
                </c:pt>
              </c:numCache>
            </c:numRef>
          </c:xVal>
          <c:yVal>
            <c:numRef>
              <c:f>Soporte_Dashboard_M9!$F$8</c:f>
              <c:numCache>
                <c:formatCode>[$$-409]#,##0</c:formatCode>
                <c:ptCount val="1"/>
                <c:pt idx="0">
                  <c:v>85500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87-40D2-82FD-8F879EBB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134592"/>
        <c:axId val="462861424"/>
      </c:scatterChart>
      <c:valAx>
        <c:axId val="17481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Unidades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2861424"/>
        <c:crosses val="autoZero"/>
        <c:crossBetween val="midCat"/>
      </c:valAx>
      <c:valAx>
        <c:axId val="4628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8134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254000</xdr:colOff>
      <xdr:row>8</xdr:row>
      <xdr:rowOff>165100</xdr:rowOff>
    </xdr:from>
    <xdr:to>
      <xdr:col>3</xdr:col>
      <xdr:colOff>177800</xdr:colOff>
      <xdr:row>16</xdr:row>
      <xdr:rowOff>35560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Filtro_Año">
              <a:extLst>
                <a:ext uri="{FF2B5EF4-FFF2-40B4-BE49-F238E27FC236}">
                  <a16:creationId xmlns:a16="http://schemas.microsoft.com/office/drawing/2014/main" id="{77892ADA-4D32-4A0A-9937-3FAEE0C8F9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0" y="2413000"/>
              <a:ext cx="26670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431800</xdr:colOff>
      <xdr:row>8</xdr:row>
      <xdr:rowOff>165100</xdr:rowOff>
    </xdr:from>
    <xdr:to>
      <xdr:col>6</xdr:col>
      <xdr:colOff>863600</xdr:colOff>
      <xdr:row>16</xdr:row>
      <xdr:rowOff>35560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Filtro_Categoria">
              <a:extLst>
                <a:ext uri="{FF2B5EF4-FFF2-40B4-BE49-F238E27FC236}">
                  <a16:creationId xmlns:a16="http://schemas.microsoft.com/office/drawing/2014/main" id="{241EB565-37FC-1709-4434-1486EB2AFD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00" y="2413000"/>
              <a:ext cx="31750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203200</xdr:colOff>
      <xdr:row>8</xdr:row>
      <xdr:rowOff>165100</xdr:rowOff>
    </xdr:from>
    <xdr:to>
      <xdr:col>10</xdr:col>
      <xdr:colOff>635000</xdr:colOff>
      <xdr:row>16</xdr:row>
      <xdr:rowOff>35560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Filtro_Ciudad">
              <a:extLst>
                <a:ext uri="{FF2B5EF4-FFF2-40B4-BE49-F238E27FC236}">
                  <a16:creationId xmlns:a16="http://schemas.microsoft.com/office/drawing/2014/main" id="{635D6D4E-1672-C538-3E59-1BB49DF9D9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0" y="2413000"/>
              <a:ext cx="31750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5" name="Tendencia_Ventas_Mensuales">
          <a:extLst>
            <a:ext uri="{FF2B5EF4-FFF2-40B4-BE49-F238E27FC236}">
              <a16:creationId xmlns:a16="http://schemas.microsoft.com/office/drawing/2014/main" id="{5D70D2A0-B7FD-89CF-E88F-4546878CB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6" name="Ranking_Productos">
          <a:extLst>
            <a:ext uri="{FF2B5EF4-FFF2-40B4-BE49-F238E27FC236}">
              <a16:creationId xmlns:a16="http://schemas.microsoft.com/office/drawing/2014/main" id="{6E582589-A962-37A3-B6BC-F2B967149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7" name="Dispersion_Volumen_Ventas">
          <a:extLst>
            <a:ext uri="{FF2B5EF4-FFF2-40B4-BE49-F238E27FC236}">
              <a16:creationId xmlns:a16="http://schemas.microsoft.com/office/drawing/2014/main" id="{157C622E-7763-93BC-EBAE-441795385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B87F01C-44E5-49EB-B11B-D5CB63A7D49F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_Venta" tableColumnId="1"/>
      <queryTableField id="2" name="Fecha" tableColumnId="2"/>
      <queryTableField id="3" name="ID_Cliente" tableColumnId="3"/>
      <queryTableField id="4" name="ID_Producto" tableColumnId="4"/>
      <queryTableField id="5" name="Cantidad" tableColumnId="5"/>
      <queryTableField id="6" name="Total" tableColumnId="6"/>
      <queryTableField id="7" name="Cliente" tableColumnId="7"/>
      <queryTableField id="8" name="Ciudad_Cliente" tableColumnId="8"/>
      <queryTableField id="9" name="Producto" tableColumnId="9"/>
      <queryTableField id="10" name="Categoria_Producto" tableColumnId="10"/>
      <queryTableField id="11" name="Precio_Unitario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FA2E0C04-5325-4196-9F79-3758ED90DD25}" sourceName="Año">
  <extLst>
    <x:ext xmlns:x15="http://schemas.microsoft.com/office/spreadsheetml/2010/11/main" uri="{2F2917AC-EB37-4324-AD4E-5DD8C200BD13}">
      <x15:tableSlicerCache tableId="12" column="1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Producto" xr10:uid="{48FA9AAA-CEF8-46DD-9689-926CBBC5DC20}" sourceName="Categoria_Producto">
  <extLst>
    <x:ext xmlns:x15="http://schemas.microsoft.com/office/spreadsheetml/2010/11/main" uri="{2F2917AC-EB37-4324-AD4E-5DD8C200BD13}">
      <x15:tableSlicerCache tableId="12" column="10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_Cliente" xr10:uid="{5D2EB3FE-65A5-430E-BE29-0B69A3A12663}" sourceName="Ciudad_Cliente">
  <extLst>
    <x:ext xmlns:x15="http://schemas.microsoft.com/office/spreadsheetml/2010/11/main" uri="{2F2917AC-EB37-4324-AD4E-5DD8C200BD13}">
      <x15:tableSlicerCache tableId="12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_Año" xr10:uid="{9C0AEC9D-9ACE-4D2C-8A46-1D011590356F}" cache="SegmentaciónDeDatos_Año" caption="Año" style="SlicerStyleLight2" rowHeight="247650"/>
  <slicer name="Filtro_Categoria" xr10:uid="{732B67AB-B500-4761-954E-0948D96FF508}" cache="SegmentaciónDeDatos_Categoria_Producto" caption="Categoría" style="SlicerStyleLight2" rowHeight="247650"/>
  <slicer name="Filtro_Ciudad" xr10:uid="{07D0D497-30D2-4C44-B2C9-96511B3CC384}" cache="SegmentaciónDeDatos_Ciudad_Cliente" caption="Ciudad" style="SlicerStyleLight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C1B69D-76BC-4385-A4BD-90CC4B7B1BB8}" name="Q_Transacciones_ETL" displayName="Q_Transacciones_ETL" ref="A1:N54" tableType="queryTable" totalsRowShown="0" headerRowDxfId="40" dataDxfId="39">
  <autoFilter ref="A1:N54" xr:uid="{C8C1B69D-76BC-4385-A4BD-90CC4B7B1BB8}"/>
  <tableColumns count="14">
    <tableColumn id="1" xr3:uid="{A16C44F6-38E2-499E-9EFC-00AD5449299A}" uniqueName="1" name="ID_Venta" queryTableFieldId="1" dataDxfId="38"/>
    <tableColumn id="2" xr3:uid="{CB1908D1-C555-4811-9489-E1BE7975DF85}" uniqueName="2" name="Fecha" queryTableFieldId="2" dataDxfId="37"/>
    <tableColumn id="3" xr3:uid="{0BAFF103-4113-4AAD-BD95-864195D30AE7}" uniqueName="3" name="ID_Cliente" queryTableFieldId="3" dataDxfId="36"/>
    <tableColumn id="4" xr3:uid="{18E64EFE-AB35-4C82-B057-5965698A2DC3}" uniqueName="4" name="ID_Producto" queryTableFieldId="4" dataDxfId="35"/>
    <tableColumn id="5" xr3:uid="{8F4FA4FD-37D2-44ED-866D-E46ED41A31DE}" uniqueName="5" name="Cantidad" queryTableFieldId="5" dataDxfId="34"/>
    <tableColumn id="6" xr3:uid="{599C6752-94F5-447B-AE8C-EBD4BF0174BA}" uniqueName="6" name="Total" queryTableFieldId="6" dataDxfId="33"/>
    <tableColumn id="7" xr3:uid="{D37020C1-01AD-44E4-AB60-BF5F3C38046F}" uniqueName="7" name="Cliente" queryTableFieldId="7" dataDxfId="32"/>
    <tableColumn id="8" xr3:uid="{7B74F77F-7DDA-437A-B8A3-67CE54FD98EF}" uniqueName="8" name="Ciudad_Cliente" queryTableFieldId="8" dataDxfId="31"/>
    <tableColumn id="9" xr3:uid="{C7C6D0EA-7870-49D0-AB2F-BED996D460FE}" uniqueName="9" name="Producto" queryTableFieldId="9" dataDxfId="30"/>
    <tableColumn id="10" xr3:uid="{2FA231A6-F9AF-4576-A010-C90C921690C5}" uniqueName="10" name="Categoria_Producto" queryTableFieldId="10" dataDxfId="29"/>
    <tableColumn id="11" xr3:uid="{1E8C8D6F-E123-4F1F-A64F-EE9BE2567DA0}" uniqueName="11" name="Precio_Unitario" queryTableFieldId="11" dataDxfId="28"/>
    <tableColumn id="12" xr3:uid="{D856A7FA-5B6A-46CA-80B3-71F187C0D534}" uniqueName="12" name="Año" queryTableFieldId="12" dataDxfId="6">
      <calculatedColumnFormula>YEAR(Q_Transacciones_ETL[[#This Row],[Fecha]])</calculatedColumnFormula>
    </tableColumn>
    <tableColumn id="13" xr3:uid="{BCD2C46C-6F3D-4301-9FDA-2EEEE2F9988F}" uniqueName="13" name="Margen_Estimado" queryTableFieldId="13" dataDxfId="0">
      <calculatedColumnFormula>Q_Transacciones_ETL[[#This Row],[Total]]*35%</calculatedColumnFormula>
    </tableColumn>
    <tableColumn id="14" xr3:uid="{11BD44F1-A9FD-41D7-83B2-1E5008BEAC7A}" uniqueName="14" name="Visible_M9" queryTableFieldId="14" dataDxfId="5">
      <calculatedColumnFormula>SUBTOTAL(103,A2)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BEC3F6-FC3A-4B07-9EEC-A267EC6BDCF6}" name="Dim_Clientes_M8" displayName="Dim_Clientes_M8" ref="A1:D10" totalsRowShown="0" headerRowDxfId="27" dataDxfId="26">
  <autoFilter ref="A1:D10" xr:uid="{24BEC3F6-FC3A-4B07-9EEC-A267EC6BDCF6}"/>
  <tableColumns count="4">
    <tableColumn id="1" xr3:uid="{DC44C51B-F289-4DDA-B34D-9A76EFAE5A28}" name="ID_Cliente" dataDxfId="25"/>
    <tableColumn id="2" xr3:uid="{A81B9960-A577-4442-B8B7-1BDA52F45729}" name="Cliente" dataDxfId="24"/>
    <tableColumn id="3" xr3:uid="{0A70CF59-C7E0-48A6-87DC-0317E0AA8448}" name="Ciudad" dataDxfId="23"/>
    <tableColumn id="4" xr3:uid="{760BAD81-55F3-44F8-9F05-30B6F8E0A2E6}" name="Email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B890337-CC63-4944-B84E-B9A33A0F1ABD}" name="Dim_Productos_M8" displayName="Dim_Productos_M8" ref="A1:D8" totalsRowShown="0" headerRowDxfId="21" dataDxfId="20">
  <autoFilter ref="A1:D8" xr:uid="{5B890337-CC63-4944-B84E-B9A33A0F1ABD}"/>
  <tableColumns count="4">
    <tableColumn id="1" xr3:uid="{7FF47EA5-87A5-47DD-8265-C8C5498348E1}" name="ID_Producto" dataDxfId="19"/>
    <tableColumn id="2" xr3:uid="{47EE1F2F-07FF-4B4E-8E7F-8A46820A21AA}" name="Producto" dataDxfId="18"/>
    <tableColumn id="3" xr3:uid="{D3A7EF15-79ED-4801-AE5E-280FBBA81FAC}" name="Categoría" dataDxfId="17"/>
    <tableColumn id="4" xr3:uid="{0EAA51FC-E0B0-41A7-B514-EBC5C064C079}" name="Precio_Unitario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5987F1-8E0B-48A2-A559-AD3C63C2F3FB}" name="Dim_Calendario_M8" displayName="Dim_Calendario_M8" ref="A1:G890" totalsRowShown="0" headerRowDxfId="15" dataDxfId="14">
  <autoFilter ref="A1:G890" xr:uid="{6D5987F1-8E0B-48A2-A559-AD3C63C2F3FB}"/>
  <tableColumns count="7">
    <tableColumn id="1" xr3:uid="{51330EBB-2CA7-48C5-A58D-926063F4EB82}" name="Fecha" dataDxfId="13"/>
    <tableColumn id="2" xr3:uid="{8EB6074A-C6BE-4CD2-A944-61253C369FFB}" name="Año" dataDxfId="12"/>
    <tableColumn id="3" xr3:uid="{4F227871-1879-43F8-8CD2-A04D44644FC7}" name="Mes_Num" dataDxfId="11"/>
    <tableColumn id="4" xr3:uid="{5DB8C183-5E61-4426-A493-E8939CFF9910}" name="Mes" dataDxfId="10"/>
    <tableColumn id="5" xr3:uid="{7EF9508B-8178-45C7-BE9A-BC2DC9A1F4EB}" name="Trimestre" dataDxfId="9"/>
    <tableColumn id="6" xr3:uid="{B276BA4D-21AB-4174-9D2A-2F0AEAAA11FF}" name="Día_Semana" dataDxfId="8"/>
    <tableColumn id="7" xr3:uid="{B67F3026-649D-4199-A2D8-BD5CA2BB75FD}" name="Tipo_Día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16B5-012C-4199-B7B8-C15F8859A31A}">
  <dimension ref="A1:N46"/>
  <sheetViews>
    <sheetView showGridLines="0" workbookViewId="0">
      <selection sqref="A1:N1"/>
    </sheetView>
  </sheetViews>
  <sheetFormatPr baseColWidth="10" defaultRowHeight="14.4" x14ac:dyDescent="0.3"/>
  <cols>
    <col min="1" max="14" width="13.33203125" customWidth="1"/>
  </cols>
  <sheetData>
    <row r="1" spans="1:14" ht="25.05" customHeight="1" x14ac:dyDescent="0.55000000000000004">
      <c r="A1" s="82" t="s">
        <v>252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25.05" customHeight="1" x14ac:dyDescent="0.3">
      <c r="A2" s="84" t="s">
        <v>205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4" ht="25.05" customHeight="1" x14ac:dyDescent="0.3">
      <c r="A3" s="85" t="s">
        <v>206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x14ac:dyDescent="0.3">
      <c r="A4" s="95" t="str">
        <f>"Vista activa: "&amp;M6&amp;" operaciones · margen estimado "&amp;TEXT(G6,"0.0%")&amp;" · filtrá para probar las conclusiones"</f>
        <v>Vista activa: 53 operaciones · margen estimado 35% · filtrá para probar las conclusiones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spans="1:14" x14ac:dyDescent="0.3">
      <c r="A5" s="87" t="s">
        <v>207</v>
      </c>
      <c r="B5" s="87"/>
      <c r="C5" s="87" t="s">
        <v>208</v>
      </c>
      <c r="D5" s="87"/>
      <c r="E5" s="87" t="s">
        <v>209</v>
      </c>
      <c r="F5" s="87"/>
      <c r="G5" s="87" t="s">
        <v>210</v>
      </c>
      <c r="H5" s="87"/>
      <c r="I5" s="87" t="s">
        <v>211</v>
      </c>
      <c r="J5" s="87"/>
      <c r="K5" s="87" t="s">
        <v>212</v>
      </c>
      <c r="L5" s="87"/>
      <c r="M5" s="87" t="s">
        <v>213</v>
      </c>
      <c r="N5" s="87"/>
    </row>
    <row r="6" spans="1:14" ht="30" customHeight="1" x14ac:dyDescent="0.3">
      <c r="A6" s="96">
        <f>SUMIFS(Q_Transacciones_ETL[Total],Q_Transacciones_ETL[Visible_M9],1)</f>
        <v>2855500</v>
      </c>
      <c r="B6" s="88"/>
      <c r="C6" s="89">
        <f>SUMIFS(Q_Transacciones_ETL[Cantidad],Q_Transacciones_ETL[Visible_M9],1)</f>
        <v>111</v>
      </c>
      <c r="D6" s="88"/>
      <c r="E6" s="96">
        <f>SUMIFS(Q_Transacciones_ETL[Margen_Estimado],Q_Transacciones_ETL[Visible_M9],1)</f>
        <v>999425</v>
      </c>
      <c r="F6" s="88"/>
      <c r="G6" s="90">
        <f>IFERROR(E6/A6,0)</f>
        <v>0.35</v>
      </c>
      <c r="H6" s="88"/>
      <c r="I6" s="91">
        <f>_xlfn.LET(_xlpm.y,_xlfn.MAXIFS(Q_Transacciones_ETL[Año],Q_Transacciones_ETL[Visible_M9],1),_xlpm.cy,SUMIFS(Q_Transacciones_ETL[Total],Q_Transacciones_ETL[Año],_xlpm.y,Q_Transacciones_ETL[Visible_M9],1),_xlpm.py,SUMIFS(Q_Transacciones_ETL[Total],Q_Transacciones_ETL[Año],_xlpm.y-1,Q_Transacciones_ETL[Visible_M9],1),IF(_xlpm.py=0,"s/d",_xlpm.cy/_xlpm.py-1))</f>
        <v>0.3102493074792243</v>
      </c>
      <c r="J6" s="88"/>
      <c r="K6" s="96">
        <f>IFERROR(A6/M6,0)</f>
        <v>53877.358490566039</v>
      </c>
      <c r="L6" s="88"/>
      <c r="M6" s="89">
        <f>SUM(Q_Transacciones_ETL[Visible_M9])</f>
        <v>53</v>
      </c>
      <c r="N6" s="88"/>
    </row>
    <row r="7" spans="1:14" ht="30" customHeight="1" x14ac:dyDescent="0.3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 x14ac:dyDescent="0.3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</row>
    <row r="9" spans="1:14" x14ac:dyDescent="0.3">
      <c r="A9" s="92" t="s">
        <v>214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</row>
    <row r="10" spans="1:14" x14ac:dyDescent="0.3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</row>
    <row r="11" spans="1:14" x14ac:dyDescent="0.3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</row>
    <row r="12" spans="1:14" x14ac:dyDescent="0.3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</row>
    <row r="13" spans="1:14" x14ac:dyDescent="0.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1:14" x14ac:dyDescent="0.3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</row>
    <row r="15" spans="1:14" x14ac:dyDescent="0.3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</row>
    <row r="16" spans="1:14" x14ac:dyDescent="0.3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</row>
    <row r="17" spans="1:14" x14ac:dyDescent="0.3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</row>
    <row r="18" spans="1:14" x14ac:dyDescent="0.3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</row>
    <row r="19" spans="1:14" x14ac:dyDescent="0.3">
      <c r="A19" s="93" t="s">
        <v>215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</row>
    <row r="20" spans="1:14" x14ac:dyDescent="0.3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14" x14ac:dyDescent="0.3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</row>
    <row r="22" spans="1:14" x14ac:dyDescent="0.3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</row>
    <row r="23" spans="1:14" x14ac:dyDescent="0.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</row>
    <row r="24" spans="1:14" x14ac:dyDescent="0.3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</row>
    <row r="25" spans="1:14" x14ac:dyDescent="0.3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</row>
    <row r="26" spans="1:14" x14ac:dyDescent="0.3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</row>
    <row r="27" spans="1:14" x14ac:dyDescent="0.3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</row>
    <row r="28" spans="1:14" x14ac:dyDescent="0.3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</row>
    <row r="29" spans="1:14" x14ac:dyDescent="0.3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</row>
    <row r="30" spans="1:14" x14ac:dyDescent="0.3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</row>
    <row r="31" spans="1:14" x14ac:dyDescent="0.3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</row>
    <row r="32" spans="1:14" x14ac:dyDescent="0.3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</row>
    <row r="33" spans="1:14" x14ac:dyDescent="0.3">
      <c r="A33" s="86"/>
      <c r="B33" s="86"/>
      <c r="C33" s="86"/>
      <c r="D33" s="86"/>
      <c r="E33" s="86"/>
      <c r="F33" s="86"/>
      <c r="G33" s="86"/>
      <c r="H33" s="92" t="s">
        <v>216</v>
      </c>
      <c r="I33" s="92"/>
      <c r="J33" s="92"/>
      <c r="K33" s="92"/>
      <c r="L33" s="92"/>
      <c r="M33" s="92"/>
      <c r="N33" s="92"/>
    </row>
    <row r="34" spans="1:14" ht="25.95" customHeight="1" x14ac:dyDescent="0.3">
      <c r="A34" s="86"/>
      <c r="B34" s="86"/>
      <c r="C34" s="86"/>
      <c r="D34" s="86"/>
      <c r="E34" s="86"/>
      <c r="F34" s="86"/>
      <c r="G34" s="86"/>
      <c r="H34" s="94" t="s">
        <v>217</v>
      </c>
      <c r="I34" s="94"/>
      <c r="J34" s="94"/>
      <c r="K34" s="94"/>
      <c r="L34" s="94"/>
      <c r="M34" s="94"/>
      <c r="N34" s="94"/>
    </row>
    <row r="35" spans="1:14" ht="25.95" customHeight="1" x14ac:dyDescent="0.3">
      <c r="A35" s="86"/>
      <c r="B35" s="86"/>
      <c r="C35" s="86"/>
      <c r="D35" s="86"/>
      <c r="E35" s="86"/>
      <c r="F35" s="86"/>
      <c r="G35" s="86"/>
      <c r="H35" s="94"/>
      <c r="I35" s="94"/>
      <c r="J35" s="94"/>
      <c r="K35" s="94"/>
      <c r="L35" s="94"/>
      <c r="M35" s="94"/>
      <c r="N35" s="94"/>
    </row>
    <row r="36" spans="1:14" ht="25.95" customHeight="1" x14ac:dyDescent="0.3">
      <c r="A36" s="86"/>
      <c r="B36" s="86"/>
      <c r="C36" s="86"/>
      <c r="D36" s="86"/>
      <c r="E36" s="86"/>
      <c r="F36" s="86"/>
      <c r="G36" s="86"/>
      <c r="H36" s="94"/>
      <c r="I36" s="94"/>
      <c r="J36" s="94"/>
      <c r="K36" s="94"/>
      <c r="L36" s="94"/>
      <c r="M36" s="94"/>
      <c r="N36" s="94"/>
    </row>
    <row r="37" spans="1:14" ht="25.95" customHeight="1" x14ac:dyDescent="0.3">
      <c r="A37" s="86"/>
      <c r="B37" s="86"/>
      <c r="C37" s="86"/>
      <c r="D37" s="86"/>
      <c r="E37" s="86"/>
      <c r="F37" s="86"/>
      <c r="G37" s="86"/>
      <c r="H37" s="94"/>
      <c r="I37" s="94"/>
      <c r="J37" s="94"/>
      <c r="K37" s="94"/>
      <c r="L37" s="94"/>
      <c r="M37" s="94"/>
      <c r="N37" s="94"/>
    </row>
    <row r="38" spans="1:14" x14ac:dyDescent="0.3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</row>
    <row r="39" spans="1:14" x14ac:dyDescent="0.3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</row>
    <row r="40" spans="1:14" x14ac:dyDescent="0.3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</row>
    <row r="46" spans="1:14" x14ac:dyDescent="0.3">
      <c r="A46" s="99" t="s">
        <v>250</v>
      </c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</row>
  </sheetData>
  <mergeCells count="23">
    <mergeCell ref="A46:N46"/>
    <mergeCell ref="M6:N7"/>
    <mergeCell ref="A9:N9"/>
    <mergeCell ref="A19:N19"/>
    <mergeCell ref="H33:N33"/>
    <mergeCell ref="H34:N37"/>
    <mergeCell ref="A4:N4"/>
    <mergeCell ref="A6:B7"/>
    <mergeCell ref="C6:D7"/>
    <mergeCell ref="E6:F7"/>
    <mergeCell ref="G6:H7"/>
    <mergeCell ref="I6:J7"/>
    <mergeCell ref="K6:L7"/>
    <mergeCell ref="A1:N1"/>
    <mergeCell ref="A2:N2"/>
    <mergeCell ref="A3:N3"/>
    <mergeCell ref="A5:B5"/>
    <mergeCell ref="C5:D5"/>
    <mergeCell ref="E5:F5"/>
    <mergeCell ref="G5:H5"/>
    <mergeCell ref="I5:J5"/>
    <mergeCell ref="K5:L5"/>
    <mergeCell ref="M5:N5"/>
  </mergeCells>
  <conditionalFormatting sqref="G6:H7">
    <cfRule type="expression" dxfId="4" priority="1">
      <formula>$G$6&gt;=0.35</formula>
    </cfRule>
  </conditionalFormatting>
  <conditionalFormatting sqref="G6:H7">
    <cfRule type="expression" dxfId="3" priority="2">
      <formula>$G$6&lt;0.35</formula>
    </cfRule>
  </conditionalFormatting>
  <conditionalFormatting sqref="I6:J7">
    <cfRule type="expression" dxfId="2" priority="3">
      <formula>IFERROR($I$6&gt;=0,FALSE)</formula>
    </cfRule>
  </conditionalFormatting>
  <conditionalFormatting sqref="I6:J7">
    <cfRule type="expression" dxfId="1" priority="4">
      <formula>IFERROR($I$6&lt;0,FALSE)</formula>
    </cfRule>
  </conditionalFormatting>
  <pageMargins left="0.7" right="0.7" top="0.75" bottom="0.75" header="0.3" footer="0.3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864B-C151-4522-A695-D2BA11B24B34}">
  <dimension ref="A1:F12"/>
  <sheetViews>
    <sheetView showGridLines="0" tabSelected="1" workbookViewId="0">
      <selection sqref="A1:F1"/>
    </sheetView>
  </sheetViews>
  <sheetFormatPr baseColWidth="10" defaultRowHeight="14.4" x14ac:dyDescent="0.3"/>
  <cols>
    <col min="1" max="1" width="16.6640625" customWidth="1"/>
    <col min="2" max="6" width="33.33203125" customWidth="1"/>
  </cols>
  <sheetData>
    <row r="1" spans="1:6" ht="21" x14ac:dyDescent="0.4">
      <c r="A1" s="78" t="s">
        <v>223</v>
      </c>
      <c r="B1" s="78"/>
      <c r="C1" s="78"/>
      <c r="D1" s="78"/>
      <c r="E1" s="78"/>
      <c r="F1" s="78"/>
    </row>
    <row r="2" spans="1:6" ht="21" x14ac:dyDescent="0.4">
      <c r="A2" s="78" t="s">
        <v>224</v>
      </c>
      <c r="B2" s="78"/>
      <c r="C2" s="78"/>
      <c r="D2" s="78"/>
      <c r="E2" s="78"/>
      <c r="F2" s="78"/>
    </row>
    <row r="3" spans="1:6" x14ac:dyDescent="0.3">
      <c r="A3" s="95" t="s">
        <v>251</v>
      </c>
      <c r="B3" s="95"/>
      <c r="C3" s="95"/>
      <c r="D3" s="95"/>
      <c r="E3" s="95"/>
      <c r="F3" s="95"/>
    </row>
    <row r="4" spans="1:6" x14ac:dyDescent="0.3">
      <c r="A4" s="79" t="s">
        <v>225</v>
      </c>
      <c r="B4" s="79" t="s">
        <v>226</v>
      </c>
      <c r="C4" s="79" t="s">
        <v>227</v>
      </c>
      <c r="D4" s="79" t="s">
        <v>228</v>
      </c>
      <c r="E4" s="79" t="s">
        <v>229</v>
      </c>
      <c r="F4" s="79" t="s">
        <v>172</v>
      </c>
    </row>
    <row r="5" spans="1:6" ht="72" x14ac:dyDescent="0.3">
      <c r="A5" s="80" t="s">
        <v>230</v>
      </c>
      <c r="B5" s="80" t="s">
        <v>231</v>
      </c>
      <c r="C5" s="80" t="s">
        <v>232</v>
      </c>
      <c r="D5" s="80" t="s">
        <v>233</v>
      </c>
      <c r="E5" s="80" t="s">
        <v>234</v>
      </c>
      <c r="F5" s="80" t="s">
        <v>235</v>
      </c>
    </row>
    <row r="6" spans="1:6" ht="57.6" x14ac:dyDescent="0.3">
      <c r="A6" s="80" t="s">
        <v>236</v>
      </c>
      <c r="B6" s="80" t="s">
        <v>237</v>
      </c>
      <c r="C6" s="80" t="s">
        <v>238</v>
      </c>
      <c r="D6" s="80" t="s">
        <v>239</v>
      </c>
      <c r="E6" s="80" t="s">
        <v>240</v>
      </c>
      <c r="F6" s="80" t="s">
        <v>241</v>
      </c>
    </row>
    <row r="7" spans="1:6" ht="43.2" x14ac:dyDescent="0.3">
      <c r="A7" s="80" t="s">
        <v>242</v>
      </c>
      <c r="B7" s="80" t="s">
        <v>243</v>
      </c>
      <c r="C7" s="80" t="s">
        <v>244</v>
      </c>
      <c r="D7" s="80" t="s">
        <v>245</v>
      </c>
      <c r="E7" s="80" t="s">
        <v>246</v>
      </c>
      <c r="F7" s="80" t="s">
        <v>247</v>
      </c>
    </row>
    <row r="9" spans="1:6" x14ac:dyDescent="0.3">
      <c r="A9" s="81" t="s">
        <v>248</v>
      </c>
      <c r="B9" s="81"/>
      <c r="C9" s="81"/>
      <c r="D9" s="81"/>
      <c r="E9" s="81"/>
      <c r="F9" s="81"/>
    </row>
    <row r="10" spans="1:6" x14ac:dyDescent="0.3">
      <c r="A10" s="75" t="s">
        <v>249</v>
      </c>
      <c r="B10" s="75"/>
      <c r="C10" s="75"/>
      <c r="D10" s="75"/>
      <c r="E10" s="75"/>
      <c r="F10" s="75"/>
    </row>
    <row r="11" spans="1:6" x14ac:dyDescent="0.3">
      <c r="A11" s="75"/>
      <c r="B11" s="75"/>
      <c r="C11" s="75"/>
      <c r="D11" s="75"/>
      <c r="E11" s="75"/>
      <c r="F11" s="75"/>
    </row>
    <row r="12" spans="1:6" x14ac:dyDescent="0.3">
      <c r="A12" s="75"/>
      <c r="B12" s="75"/>
      <c r="C12" s="75"/>
      <c r="D12" s="75"/>
      <c r="E12" s="75"/>
      <c r="F12" s="75"/>
    </row>
  </sheetData>
  <mergeCells count="5">
    <mergeCell ref="A1:F1"/>
    <mergeCell ref="A2:F2"/>
    <mergeCell ref="A9:F9"/>
    <mergeCell ref="A10:F12"/>
    <mergeCell ref="A3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6C5E-00E6-453C-9E39-CE3596FB2F22}">
  <dimension ref="A1:F23"/>
  <sheetViews>
    <sheetView showGridLines="0" topLeftCell="A6" workbookViewId="0">
      <selection sqref="A1:F1"/>
    </sheetView>
  </sheetViews>
  <sheetFormatPr baseColWidth="10" defaultRowHeight="14.4" x14ac:dyDescent="0.3"/>
  <cols>
    <col min="1" max="1" width="28.6640625" customWidth="1"/>
    <col min="2" max="6" width="18.5546875" customWidth="1"/>
  </cols>
  <sheetData>
    <row r="1" spans="1:6" s="2" customFormat="1" ht="34.049999999999997" customHeight="1" x14ac:dyDescent="0.5">
      <c r="A1" s="55" t="s">
        <v>165</v>
      </c>
      <c r="B1" s="55"/>
      <c r="C1" s="55"/>
      <c r="D1" s="55"/>
      <c r="E1" s="55"/>
      <c r="F1" s="55"/>
    </row>
    <row r="2" spans="1:6" s="3" customFormat="1" ht="25.05" customHeight="1" x14ac:dyDescent="0.3">
      <c r="A2" s="56" t="s">
        <v>166</v>
      </c>
      <c r="B2" s="56"/>
      <c r="C2" s="56"/>
      <c r="D2" s="56"/>
      <c r="E2" s="56"/>
      <c r="F2" s="56"/>
    </row>
    <row r="3" spans="1:6" x14ac:dyDescent="0.3">
      <c r="A3" s="12"/>
      <c r="B3" s="12"/>
      <c r="C3" s="12"/>
      <c r="D3" s="12"/>
      <c r="E3" s="12"/>
      <c r="F3" s="12"/>
    </row>
    <row r="4" spans="1:6" x14ac:dyDescent="0.3">
      <c r="A4" s="57" t="s">
        <v>167</v>
      </c>
      <c r="B4" s="57"/>
      <c r="C4" s="57" t="s">
        <v>168</v>
      </c>
      <c r="D4" s="57"/>
      <c r="E4" s="57" t="s">
        <v>169</v>
      </c>
      <c r="F4" s="57"/>
    </row>
    <row r="5" spans="1:6" ht="30" customHeight="1" x14ac:dyDescent="0.3">
      <c r="A5" s="58" t="s">
        <v>170</v>
      </c>
      <c r="B5" s="58"/>
      <c r="C5" s="59">
        <f>COUNT(Q_Transacciones_ETL[Total])</f>
        <v>53</v>
      </c>
      <c r="D5" s="60"/>
      <c r="E5" s="61">
        <f>SUM(Q_Transacciones_ETL[Total])*35%</f>
        <v>999424.99999999988</v>
      </c>
      <c r="F5" s="60"/>
    </row>
    <row r="6" spans="1:6" ht="30" customHeight="1" x14ac:dyDescent="0.3">
      <c r="A6" s="58"/>
      <c r="B6" s="58"/>
      <c r="C6" s="60"/>
      <c r="D6" s="60"/>
      <c r="E6" s="60"/>
      <c r="F6" s="60"/>
    </row>
    <row r="7" spans="1:6" x14ac:dyDescent="0.3">
      <c r="A7" s="13"/>
      <c r="B7" s="14"/>
      <c r="C7" s="13"/>
      <c r="D7" s="13"/>
      <c r="E7" s="12"/>
      <c r="F7" s="12"/>
    </row>
    <row r="8" spans="1:6" x14ac:dyDescent="0.3">
      <c r="A8" s="62" t="s">
        <v>171</v>
      </c>
      <c r="B8" s="62"/>
      <c r="C8" s="62"/>
      <c r="D8" s="62"/>
      <c r="E8" s="62"/>
      <c r="F8" s="62"/>
    </row>
    <row r="9" spans="1:6" x14ac:dyDescent="0.3">
      <c r="A9" s="15" t="s">
        <v>110</v>
      </c>
      <c r="B9" s="15" t="s">
        <v>71</v>
      </c>
      <c r="C9" s="15" t="s">
        <v>172</v>
      </c>
      <c r="D9" s="15"/>
      <c r="E9" s="15"/>
      <c r="F9" s="15"/>
    </row>
    <row r="10" spans="1:6" x14ac:dyDescent="0.3">
      <c r="A10" s="16" t="s">
        <v>173</v>
      </c>
      <c r="B10" s="19" t="s">
        <v>73</v>
      </c>
      <c r="C10" s="50" t="s">
        <v>174</v>
      </c>
      <c r="D10" s="50"/>
      <c r="E10" s="50"/>
      <c r="F10" s="50"/>
    </row>
    <row r="11" spans="1:6" x14ac:dyDescent="0.3">
      <c r="A11" s="16" t="s">
        <v>175</v>
      </c>
      <c r="B11" s="19" t="s">
        <v>73</v>
      </c>
      <c r="C11" s="50" t="s">
        <v>176</v>
      </c>
      <c r="D11" s="50"/>
      <c r="E11" s="50"/>
      <c r="F11" s="50"/>
    </row>
    <row r="12" spans="1:6" x14ac:dyDescent="0.3">
      <c r="A12" s="16" t="s">
        <v>177</v>
      </c>
      <c r="B12" s="19" t="s">
        <v>73</v>
      </c>
      <c r="C12" s="50" t="s">
        <v>178</v>
      </c>
      <c r="D12" s="50"/>
      <c r="E12" s="50"/>
      <c r="F12" s="50"/>
    </row>
    <row r="13" spans="1:6" x14ac:dyDescent="0.3">
      <c r="A13" s="17" t="s">
        <v>179</v>
      </c>
      <c r="B13" s="19" t="s">
        <v>73</v>
      </c>
      <c r="C13" s="63" t="s">
        <v>180</v>
      </c>
      <c r="D13" s="63"/>
      <c r="E13" s="63"/>
      <c r="F13" s="63"/>
    </row>
    <row r="14" spans="1:6" x14ac:dyDescent="0.3">
      <c r="A14" s="16" t="s">
        <v>128</v>
      </c>
      <c r="B14" s="19" t="s">
        <v>73</v>
      </c>
      <c r="C14" s="50" t="s">
        <v>181</v>
      </c>
      <c r="D14" s="50"/>
      <c r="E14" s="50"/>
      <c r="F14" s="50"/>
    </row>
    <row r="15" spans="1:6" x14ac:dyDescent="0.3">
      <c r="A15" s="18" t="s">
        <v>182</v>
      </c>
      <c r="B15" s="19" t="s">
        <v>73</v>
      </c>
      <c r="C15" s="52" t="s">
        <v>183</v>
      </c>
      <c r="D15" s="52"/>
      <c r="E15" s="52"/>
      <c r="F15" s="52"/>
    </row>
    <row r="16" spans="1:6" x14ac:dyDescent="0.3">
      <c r="A16" s="13"/>
      <c r="B16" s="13"/>
      <c r="C16" s="13"/>
      <c r="D16" s="13"/>
      <c r="E16" s="13"/>
      <c r="F16" s="13"/>
    </row>
    <row r="17" spans="1:6" x14ac:dyDescent="0.3">
      <c r="A17" s="53" t="s">
        <v>184</v>
      </c>
      <c r="B17" s="53"/>
      <c r="C17" s="53"/>
      <c r="D17" s="53"/>
      <c r="E17" s="53"/>
      <c r="F17" s="53"/>
    </row>
    <row r="18" spans="1:6" x14ac:dyDescent="0.3">
      <c r="A18" s="15" t="s">
        <v>185</v>
      </c>
      <c r="B18" s="15" t="s">
        <v>186</v>
      </c>
      <c r="C18" s="54" t="s">
        <v>187</v>
      </c>
      <c r="D18" s="54"/>
      <c r="E18" s="54"/>
      <c r="F18" s="54"/>
    </row>
    <row r="19" spans="1:6" x14ac:dyDescent="0.3">
      <c r="A19" s="16" t="s">
        <v>149</v>
      </c>
      <c r="B19" s="16" t="s">
        <v>112</v>
      </c>
      <c r="C19" s="50" t="s">
        <v>188</v>
      </c>
      <c r="D19" s="50"/>
      <c r="E19" s="50"/>
      <c r="F19" s="50"/>
    </row>
    <row r="20" spans="1:6" ht="27.6" x14ac:dyDescent="0.3">
      <c r="A20" s="16" t="s">
        <v>189</v>
      </c>
      <c r="B20" s="16" t="s">
        <v>190</v>
      </c>
      <c r="C20" s="50" t="s">
        <v>191</v>
      </c>
      <c r="D20" s="50"/>
      <c r="E20" s="50"/>
      <c r="F20" s="50"/>
    </row>
    <row r="21" spans="1:6" x14ac:dyDescent="0.3">
      <c r="A21" s="16" t="s">
        <v>150</v>
      </c>
      <c r="B21" s="16" t="s">
        <v>192</v>
      </c>
      <c r="C21" s="50" t="s">
        <v>193</v>
      </c>
      <c r="D21" s="50"/>
      <c r="E21" s="50"/>
      <c r="F21" s="50"/>
    </row>
    <row r="22" spans="1:6" x14ac:dyDescent="0.3">
      <c r="A22" s="14"/>
      <c r="B22" s="14"/>
      <c r="C22" s="14"/>
      <c r="D22" s="14"/>
      <c r="E22" s="14"/>
      <c r="F22" s="14"/>
    </row>
    <row r="23" spans="1:6" ht="28.05" customHeight="1" x14ac:dyDescent="0.3">
      <c r="A23" s="51" t="s">
        <v>194</v>
      </c>
      <c r="B23" s="51"/>
      <c r="C23" s="51"/>
      <c r="D23" s="51"/>
      <c r="E23" s="51"/>
      <c r="F23" s="51"/>
    </row>
  </sheetData>
  <mergeCells count="21">
    <mergeCell ref="C11:F11"/>
    <mergeCell ref="C12:F12"/>
    <mergeCell ref="C13:F13"/>
    <mergeCell ref="C14:F14"/>
    <mergeCell ref="A5:B6"/>
    <mergeCell ref="C5:D6"/>
    <mergeCell ref="E5:F6"/>
    <mergeCell ref="A8:F8"/>
    <mergeCell ref="C10:F10"/>
    <mergeCell ref="A1:F1"/>
    <mergeCell ref="A2:F2"/>
    <mergeCell ref="A4:B4"/>
    <mergeCell ref="C4:D4"/>
    <mergeCell ref="E4:F4"/>
    <mergeCell ref="C21:F21"/>
    <mergeCell ref="A23:F23"/>
    <mergeCell ref="C15:F15"/>
    <mergeCell ref="A17:F17"/>
    <mergeCell ref="C18:F18"/>
    <mergeCell ref="C19:F19"/>
    <mergeCell ref="C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36D8-3A5A-495A-8F63-4F7B9745A76E}">
  <sheetPr>
    <outlinePr summaryBelow="0"/>
  </sheetPr>
  <dimension ref="B1:G15"/>
  <sheetViews>
    <sheetView showGridLines="0" workbookViewId="0"/>
  </sheetViews>
  <sheetFormatPr baseColWidth="10" defaultRowHeight="14.4" outlineLevelRow="1" outlineLevelCol="1" x14ac:dyDescent="0.3"/>
  <cols>
    <col min="2" max="3" width="22.21875" customWidth="1"/>
    <col min="4" max="7" width="19.44140625" customWidth="1" outlineLevel="1"/>
  </cols>
  <sheetData>
    <row r="1" spans="2:7" ht="15" thickBot="1" x14ac:dyDescent="0.35"/>
    <row r="2" spans="2:7" ht="30" customHeight="1" x14ac:dyDescent="0.4">
      <c r="B2" s="49" t="s">
        <v>195</v>
      </c>
      <c r="C2" s="49"/>
      <c r="D2" s="49"/>
      <c r="E2" s="49"/>
      <c r="F2" s="49"/>
      <c r="G2" s="49"/>
    </row>
    <row r="3" spans="2:7" x14ac:dyDescent="0.3">
      <c r="B3" s="20"/>
      <c r="C3" s="20"/>
      <c r="D3" s="28" t="s">
        <v>160</v>
      </c>
      <c r="E3" s="28" t="s">
        <v>105</v>
      </c>
      <c r="F3" s="28" t="s">
        <v>106</v>
      </c>
      <c r="G3" s="28" t="s">
        <v>107</v>
      </c>
    </row>
    <row r="4" spans="2:7" ht="41.4" outlineLevel="1" x14ac:dyDescent="0.3">
      <c r="B4" s="21"/>
      <c r="C4" s="21"/>
      <c r="D4" s="12"/>
      <c r="E4" s="22" t="s">
        <v>158</v>
      </c>
      <c r="F4" s="22" t="s">
        <v>158</v>
      </c>
      <c r="G4" s="22" t="s">
        <v>158</v>
      </c>
    </row>
    <row r="5" spans="2:7" x14ac:dyDescent="0.3">
      <c r="B5" s="29" t="s">
        <v>159</v>
      </c>
      <c r="C5" s="29"/>
      <c r="D5" s="30"/>
      <c r="E5" s="30"/>
      <c r="F5" s="30"/>
      <c r="G5" s="30"/>
    </row>
    <row r="6" spans="2:7" outlineLevel="1" x14ac:dyDescent="0.3">
      <c r="B6" s="21"/>
      <c r="C6" s="31" t="s">
        <v>94</v>
      </c>
      <c r="D6" s="23">
        <v>120000</v>
      </c>
      <c r="E6" s="34">
        <v>114000</v>
      </c>
      <c r="F6" s="34">
        <v>120000</v>
      </c>
      <c r="G6" s="34">
        <v>126000</v>
      </c>
    </row>
    <row r="7" spans="2:7" outlineLevel="1" x14ac:dyDescent="0.3">
      <c r="B7" s="21"/>
      <c r="C7" s="31" t="s">
        <v>103</v>
      </c>
      <c r="D7" s="24">
        <v>0.65</v>
      </c>
      <c r="E7" s="35">
        <v>0.7</v>
      </c>
      <c r="F7" s="35">
        <v>0.65</v>
      </c>
      <c r="G7" s="35">
        <v>0.6</v>
      </c>
    </row>
    <row r="8" spans="2:7" outlineLevel="1" x14ac:dyDescent="0.3">
      <c r="B8" s="21"/>
      <c r="C8" s="31" t="s">
        <v>104</v>
      </c>
      <c r="D8" s="23">
        <v>4000</v>
      </c>
      <c r="E8" s="34">
        <v>5000</v>
      </c>
      <c r="F8" s="34">
        <v>4000</v>
      </c>
      <c r="G8" s="34">
        <v>3000</v>
      </c>
    </row>
    <row r="9" spans="2:7" outlineLevel="1" x14ac:dyDescent="0.3">
      <c r="B9" s="21"/>
      <c r="C9" s="31" t="s">
        <v>97</v>
      </c>
      <c r="D9" s="23">
        <v>300000</v>
      </c>
      <c r="E9" s="34">
        <v>300000</v>
      </c>
      <c r="F9" s="34">
        <v>300000</v>
      </c>
      <c r="G9" s="34">
        <v>300000</v>
      </c>
    </row>
    <row r="10" spans="2:7" outlineLevel="1" x14ac:dyDescent="0.3">
      <c r="B10" s="21"/>
      <c r="C10" s="31" t="s">
        <v>72</v>
      </c>
      <c r="D10" s="25">
        <v>21.052631578900002</v>
      </c>
      <c r="E10" s="36">
        <v>18</v>
      </c>
      <c r="F10" s="36">
        <v>22</v>
      </c>
      <c r="G10" s="36">
        <v>26</v>
      </c>
    </row>
    <row r="11" spans="2:7" x14ac:dyDescent="0.3">
      <c r="B11" s="29" t="s">
        <v>161</v>
      </c>
      <c r="C11" s="32"/>
      <c r="D11" s="30"/>
      <c r="E11" s="30"/>
      <c r="F11" s="30"/>
      <c r="G11" s="30"/>
    </row>
    <row r="12" spans="2:7" ht="15" outlineLevel="1" thickBot="1" x14ac:dyDescent="0.35">
      <c r="B12" s="26"/>
      <c r="C12" s="33" t="s">
        <v>99</v>
      </c>
      <c r="D12" s="27">
        <v>499999.99999819999</v>
      </c>
      <c r="E12" s="37">
        <v>225600</v>
      </c>
      <c r="F12" s="37">
        <v>536000</v>
      </c>
      <c r="G12" s="37">
        <v>932400</v>
      </c>
    </row>
    <row r="13" spans="2:7" ht="55.2" x14ac:dyDescent="0.3">
      <c r="B13" s="38" t="s">
        <v>162</v>
      </c>
      <c r="C13" s="38"/>
      <c r="D13" s="38"/>
      <c r="E13" s="38"/>
      <c r="F13" s="38"/>
      <c r="G13" s="38"/>
    </row>
    <row r="14" spans="2:7" ht="55.2" x14ac:dyDescent="0.3">
      <c r="B14" s="38" t="s">
        <v>163</v>
      </c>
      <c r="C14" s="38"/>
      <c r="D14" s="38"/>
      <c r="E14" s="38"/>
      <c r="F14" s="38"/>
      <c r="G14" s="38"/>
    </row>
    <row r="15" spans="2:7" ht="27.6" x14ac:dyDescent="0.3">
      <c r="B15" s="38" t="s">
        <v>164</v>
      </c>
      <c r="C15" s="38"/>
      <c r="D15" s="38"/>
      <c r="E15" s="38"/>
      <c r="F15" s="38"/>
      <c r="G15" s="38"/>
    </row>
  </sheetData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2938-30A7-43E2-9EAF-C38C82230B19}">
  <dimension ref="A1:D14"/>
  <sheetViews>
    <sheetView showGridLines="0" topLeftCell="B5" workbookViewId="0">
      <selection activeCell="B10" sqref="B10 B12"/>
    </sheetView>
  </sheetViews>
  <sheetFormatPr baseColWidth="10" defaultRowHeight="14.4" x14ac:dyDescent="0.3"/>
  <cols>
    <col min="1" max="1" width="37" customWidth="1"/>
    <col min="2" max="2" width="22.21875" customWidth="1"/>
  </cols>
  <sheetData>
    <row r="1" spans="1:4" s="2" customFormat="1" ht="21" x14ac:dyDescent="0.4">
      <c r="A1" s="64" t="s">
        <v>90</v>
      </c>
      <c r="B1" s="64"/>
      <c r="C1" s="64"/>
      <c r="D1" s="64"/>
    </row>
    <row r="2" spans="1:4" s="4" customFormat="1" x14ac:dyDescent="0.3">
      <c r="A2" s="65" t="s">
        <v>91</v>
      </c>
      <c r="B2" s="65"/>
      <c r="C2" s="65"/>
      <c r="D2" s="65"/>
    </row>
    <row r="3" spans="1:4" x14ac:dyDescent="0.3">
      <c r="A3" s="1"/>
      <c r="B3" s="1"/>
      <c r="C3" s="1"/>
      <c r="D3" s="1"/>
    </row>
    <row r="4" spans="1:4" x14ac:dyDescent="0.3">
      <c r="A4" s="5" t="s">
        <v>92</v>
      </c>
      <c r="B4" s="5" t="s">
        <v>93</v>
      </c>
      <c r="C4" s="1"/>
      <c r="D4" s="1"/>
    </row>
    <row r="5" spans="1:4" x14ac:dyDescent="0.3">
      <c r="A5" s="1" t="s">
        <v>94</v>
      </c>
      <c r="B5" s="9">
        <v>120000</v>
      </c>
      <c r="C5" s="1"/>
      <c r="D5" s="1"/>
    </row>
    <row r="6" spans="1:4" x14ac:dyDescent="0.3">
      <c r="A6" s="1" t="s">
        <v>95</v>
      </c>
      <c r="B6" s="6">
        <v>0.65</v>
      </c>
      <c r="C6" s="1"/>
      <c r="D6" s="1"/>
    </row>
    <row r="7" spans="1:4" x14ac:dyDescent="0.3">
      <c r="A7" s="1" t="s">
        <v>96</v>
      </c>
      <c r="B7" s="9">
        <v>4000</v>
      </c>
      <c r="C7" s="1"/>
      <c r="D7" s="1"/>
    </row>
    <row r="8" spans="1:4" x14ac:dyDescent="0.3">
      <c r="A8" s="1" t="s">
        <v>97</v>
      </c>
      <c r="B8" s="9">
        <v>300000</v>
      </c>
      <c r="C8" s="1"/>
      <c r="D8" s="1"/>
    </row>
    <row r="9" spans="1:4" x14ac:dyDescent="0.3">
      <c r="A9" s="1" t="s">
        <v>98</v>
      </c>
      <c r="B9" s="7">
        <v>21.052631578900002</v>
      </c>
      <c r="C9" s="1"/>
      <c r="D9" s="1"/>
    </row>
    <row r="10" spans="1:4" x14ac:dyDescent="0.3">
      <c r="A10" s="45" t="s">
        <v>99</v>
      </c>
      <c r="B10" s="46">
        <f>B9*(B5*(1-B6)-B7)-B8</f>
        <v>499999.9999982001</v>
      </c>
      <c r="C10" s="1"/>
      <c r="D10" s="1"/>
    </row>
    <row r="11" spans="1:4" x14ac:dyDescent="0.3">
      <c r="A11" s="45" t="s">
        <v>100</v>
      </c>
      <c r="B11" s="46">
        <v>500000</v>
      </c>
      <c r="C11" s="1"/>
      <c r="D11" s="1"/>
    </row>
    <row r="12" spans="1:4" x14ac:dyDescent="0.3">
      <c r="A12" s="45" t="s">
        <v>101</v>
      </c>
      <c r="B12" s="47">
        <f>ROUNDUP((B11+B8)/(B5*(1-B6)-B7),0)</f>
        <v>22</v>
      </c>
      <c r="C12" s="1"/>
      <c r="D12" s="1"/>
    </row>
    <row r="13" spans="1:4" x14ac:dyDescent="0.3">
      <c r="A13" s="1"/>
      <c r="B13" s="1"/>
      <c r="C13" s="1"/>
      <c r="D13" s="1"/>
    </row>
    <row r="14" spans="1:4" ht="37.950000000000003" customHeight="1" x14ac:dyDescent="0.3">
      <c r="A14" s="66" t="s">
        <v>102</v>
      </c>
      <c r="B14" s="66"/>
      <c r="C14" s="66"/>
      <c r="D14" s="66"/>
    </row>
  </sheetData>
  <scenarios current="0" sqref="B10">
    <scenario name="Pesimista" locked="1" count="5" user="mariana virginia cornago" comment="Creado por mariana virginia cornago el 02/10/2026">
      <inputCells r="B5" val="114000" numFmtId="167"/>
      <inputCells r="B6" val="0,7" numFmtId="165"/>
      <inputCells r="B7" val="5000" numFmtId="167"/>
      <inputCells r="B8" val="300000" numFmtId="167"/>
      <inputCells r="B9" val="18" numFmtId="166"/>
    </scenario>
    <scenario name="Base" locked="1" count="5" user="mariana virginia cornago" comment="Creado por mariana virginia cornago el 02/10/2026">
      <inputCells r="B5" val="120000" numFmtId="167"/>
      <inputCells r="B6" val="0,65" numFmtId="165"/>
      <inputCells r="B7" val="4000" numFmtId="167"/>
      <inputCells r="B8" val="300000" numFmtId="167"/>
      <inputCells r="B9" val="22" numFmtId="166"/>
    </scenario>
    <scenario name="Optimista" locked="1" count="5" user="mariana virginia cornago" comment="Creado por mariana virginia cornago el 02/10/2026">
      <inputCells r="B5" val="126000" numFmtId="167"/>
      <inputCells r="B6" val="0,6" numFmtId="165"/>
      <inputCells r="B7" val="3000" numFmtId="167"/>
      <inputCells r="B8" val="300000" numFmtId="167"/>
      <inputCells r="B9" val="26" numFmtId="166"/>
    </scenario>
  </scenarios>
  <mergeCells count="3">
    <mergeCell ref="A1:D1"/>
    <mergeCell ref="A2:D2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90D9-1A21-4978-B79F-57E3308FFEE5}">
  <dimension ref="A1:B15"/>
  <sheetViews>
    <sheetView showGridLines="0" workbookViewId="0">
      <selection sqref="A1:B15"/>
    </sheetView>
  </sheetViews>
  <sheetFormatPr baseColWidth="10" defaultRowHeight="14.4" x14ac:dyDescent="0.3"/>
  <cols>
    <col min="1" max="1" width="31.44140625" customWidth="1"/>
    <col min="2" max="2" width="22.21875" customWidth="1"/>
  </cols>
  <sheetData>
    <row r="1" spans="1:2" ht="28.05" customHeight="1" x14ac:dyDescent="0.4">
      <c r="A1" s="39" t="s">
        <v>8</v>
      </c>
      <c r="B1" s="39"/>
    </row>
    <row r="2" spans="1:2" x14ac:dyDescent="0.3">
      <c r="A2" s="1"/>
      <c r="B2" s="1"/>
    </row>
    <row r="3" spans="1:2" x14ac:dyDescent="0.3">
      <c r="A3" s="40" t="s">
        <v>85</v>
      </c>
      <c r="B3" s="8">
        <v>53877.358490566039</v>
      </c>
    </row>
    <row r="4" spans="1:2" x14ac:dyDescent="0.3">
      <c r="A4" s="40" t="s">
        <v>151</v>
      </c>
      <c r="B4" s="8">
        <v>9010.0422290277766</v>
      </c>
    </row>
    <row r="5" spans="1:2" x14ac:dyDescent="0.3">
      <c r="A5" s="40" t="s">
        <v>86</v>
      </c>
      <c r="B5" s="8">
        <v>22000</v>
      </c>
    </row>
    <row r="6" spans="1:2" x14ac:dyDescent="0.3">
      <c r="A6" s="40" t="s">
        <v>152</v>
      </c>
      <c r="B6" s="8">
        <v>120000</v>
      </c>
    </row>
    <row r="7" spans="1:2" x14ac:dyDescent="0.3">
      <c r="A7" s="40" t="s">
        <v>153</v>
      </c>
      <c r="B7" s="8">
        <v>65594.097534380198</v>
      </c>
    </row>
    <row r="8" spans="1:2" x14ac:dyDescent="0.3">
      <c r="A8" s="40" t="s">
        <v>154</v>
      </c>
      <c r="B8" s="42">
        <v>4302585631.3497829</v>
      </c>
    </row>
    <row r="9" spans="1:2" x14ac:dyDescent="0.3">
      <c r="A9" s="40" t="s">
        <v>155</v>
      </c>
      <c r="B9" s="43">
        <v>3.0639780582573288</v>
      </c>
    </row>
    <row r="10" spans="1:2" x14ac:dyDescent="0.3">
      <c r="A10" s="40" t="s">
        <v>156</v>
      </c>
      <c r="B10" s="43">
        <v>1.7999853403821693</v>
      </c>
    </row>
    <row r="11" spans="1:2" x14ac:dyDescent="0.3">
      <c r="A11" s="40" t="s">
        <v>89</v>
      </c>
      <c r="B11" s="8">
        <v>277500</v>
      </c>
    </row>
    <row r="12" spans="1:2" x14ac:dyDescent="0.3">
      <c r="A12" s="40" t="s">
        <v>87</v>
      </c>
      <c r="B12" s="8">
        <v>2500</v>
      </c>
    </row>
    <row r="13" spans="1:2" x14ac:dyDescent="0.3">
      <c r="A13" s="40" t="s">
        <v>88</v>
      </c>
      <c r="B13" s="8">
        <v>280000</v>
      </c>
    </row>
    <row r="14" spans="1:2" x14ac:dyDescent="0.3">
      <c r="A14" s="40" t="s">
        <v>84</v>
      </c>
      <c r="B14" s="8">
        <v>2855500</v>
      </c>
    </row>
    <row r="15" spans="1:2" ht="15" thickBot="1" x14ac:dyDescent="0.35">
      <c r="A15" s="41" t="s">
        <v>157</v>
      </c>
      <c r="B15" s="44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8A5B-4987-4869-BD0A-7D831868A5BD}">
  <dimension ref="A1:H37"/>
  <sheetViews>
    <sheetView showGridLines="0" workbookViewId="0">
      <selection activeCell="A25" sqref="A25:H29"/>
    </sheetView>
  </sheetViews>
  <sheetFormatPr baseColWidth="10" defaultRowHeight="14.4" x14ac:dyDescent="0.3"/>
  <cols>
    <col min="1" max="1" width="88.88671875" customWidth="1"/>
    <col min="2" max="2" width="40.77734375" customWidth="1"/>
  </cols>
  <sheetData>
    <row r="1" spans="1:8" s="2" customFormat="1" ht="21" x14ac:dyDescent="0.4">
      <c r="A1" s="69" t="s">
        <v>108</v>
      </c>
      <c r="B1" s="69"/>
      <c r="C1" s="69"/>
      <c r="D1" s="69"/>
      <c r="E1" s="69"/>
      <c r="F1" s="69"/>
      <c r="G1" s="69"/>
      <c r="H1" s="69"/>
    </row>
    <row r="2" spans="1:8" s="4" customFormat="1" x14ac:dyDescent="0.3">
      <c r="A2" s="70" t="s">
        <v>109</v>
      </c>
      <c r="B2" s="70"/>
      <c r="C2" s="70"/>
      <c r="D2" s="70"/>
      <c r="E2" s="70"/>
      <c r="F2" s="70"/>
      <c r="G2" s="70"/>
      <c r="H2" s="70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5" t="s">
        <v>110</v>
      </c>
      <c r="B4" s="5" t="s">
        <v>111</v>
      </c>
      <c r="C4" s="1"/>
      <c r="D4" s="1"/>
      <c r="E4" s="1"/>
      <c r="F4" s="1"/>
      <c r="G4" s="1"/>
      <c r="H4" s="1"/>
    </row>
    <row r="5" spans="1:8" x14ac:dyDescent="0.3">
      <c r="A5" s="1" t="s">
        <v>112</v>
      </c>
      <c r="B5" s="1" t="s">
        <v>113</v>
      </c>
      <c r="C5" s="1"/>
      <c r="D5" s="1"/>
      <c r="E5" s="1"/>
      <c r="F5" s="1"/>
      <c r="G5" s="1"/>
      <c r="H5" s="1"/>
    </row>
    <row r="6" spans="1:8" x14ac:dyDescent="0.3">
      <c r="A6" s="1" t="s">
        <v>114</v>
      </c>
      <c r="B6" s="1" t="s">
        <v>115</v>
      </c>
      <c r="C6" s="1"/>
      <c r="D6" s="1"/>
      <c r="E6" s="1"/>
      <c r="F6" s="1"/>
      <c r="G6" s="1"/>
      <c r="H6" s="1"/>
    </row>
    <row r="7" spans="1:8" x14ac:dyDescent="0.3">
      <c r="A7" s="1" t="s">
        <v>116</v>
      </c>
      <c r="B7" s="1" t="s">
        <v>117</v>
      </c>
      <c r="C7" s="1"/>
      <c r="D7" s="1"/>
      <c r="E7" s="1"/>
      <c r="F7" s="1"/>
      <c r="G7" s="1"/>
      <c r="H7" s="1"/>
    </row>
    <row r="8" spans="1:8" x14ac:dyDescent="0.3">
      <c r="A8" s="1" t="s">
        <v>118</v>
      </c>
      <c r="B8" s="1" t="s">
        <v>119</v>
      </c>
      <c r="C8" s="1"/>
      <c r="D8" s="1"/>
      <c r="E8" s="1"/>
      <c r="F8" s="1"/>
      <c r="G8" s="1"/>
      <c r="H8" s="1"/>
    </row>
    <row r="9" spans="1:8" x14ac:dyDescent="0.3">
      <c r="A9" s="1" t="s">
        <v>120</v>
      </c>
      <c r="B9" s="1" t="s">
        <v>121</v>
      </c>
      <c r="C9" s="1"/>
      <c r="D9" s="1"/>
      <c r="E9" s="1"/>
      <c r="F9" s="1"/>
      <c r="G9" s="1"/>
      <c r="H9" s="1"/>
    </row>
    <row r="10" spans="1:8" x14ac:dyDescent="0.3">
      <c r="A10" s="1" t="s">
        <v>122</v>
      </c>
      <c r="B10" s="1" t="s">
        <v>123</v>
      </c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71" t="s">
        <v>124</v>
      </c>
      <c r="B12" s="71"/>
      <c r="C12" s="71"/>
      <c r="D12" s="71"/>
      <c r="E12" s="71"/>
      <c r="F12" s="71"/>
      <c r="G12" s="71"/>
      <c r="H12" s="71"/>
    </row>
    <row r="13" spans="1:8" x14ac:dyDescent="0.3">
      <c r="A13" s="67" t="s">
        <v>125</v>
      </c>
      <c r="B13" s="68"/>
      <c r="C13" s="68"/>
      <c r="D13" s="68"/>
      <c r="E13" s="68"/>
      <c r="F13" s="68"/>
      <c r="G13" s="68"/>
      <c r="H13" s="68"/>
    </row>
    <row r="14" spans="1:8" x14ac:dyDescent="0.3">
      <c r="A14" s="67"/>
      <c r="B14" s="68"/>
      <c r="C14" s="68"/>
      <c r="D14" s="68"/>
      <c r="E14" s="68"/>
      <c r="F14" s="68"/>
      <c r="G14" s="68"/>
      <c r="H14" s="68"/>
    </row>
    <row r="15" spans="1:8" x14ac:dyDescent="0.3">
      <c r="A15" s="67"/>
      <c r="B15" s="68"/>
      <c r="C15" s="68"/>
      <c r="D15" s="68"/>
      <c r="E15" s="68"/>
      <c r="F15" s="68"/>
      <c r="G15" s="68"/>
      <c r="H15" s="68"/>
    </row>
    <row r="16" spans="1:8" x14ac:dyDescent="0.3">
      <c r="A16" s="67"/>
      <c r="B16" s="68"/>
      <c r="C16" s="68"/>
      <c r="D16" s="68"/>
      <c r="E16" s="68"/>
      <c r="F16" s="68"/>
      <c r="G16" s="68"/>
      <c r="H16" s="68"/>
    </row>
    <row r="17" spans="1:8" x14ac:dyDescent="0.3">
      <c r="A17" s="67"/>
      <c r="B17" s="68"/>
      <c r="C17" s="68"/>
      <c r="D17" s="68"/>
      <c r="E17" s="68"/>
      <c r="F17" s="68"/>
      <c r="G17" s="68"/>
      <c r="H17" s="68"/>
    </row>
    <row r="18" spans="1:8" x14ac:dyDescent="0.3">
      <c r="A18" s="67"/>
      <c r="B18" s="68"/>
      <c r="C18" s="68"/>
      <c r="D18" s="68"/>
      <c r="E18" s="68"/>
      <c r="F18" s="68"/>
      <c r="G18" s="68"/>
      <c r="H18" s="68"/>
    </row>
    <row r="19" spans="1:8" x14ac:dyDescent="0.3">
      <c r="A19" s="67"/>
      <c r="B19" s="68"/>
      <c r="C19" s="68"/>
      <c r="D19" s="68"/>
      <c r="E19" s="68"/>
      <c r="F19" s="68"/>
      <c r="G19" s="68"/>
      <c r="H19" s="68"/>
    </row>
    <row r="20" spans="1:8" x14ac:dyDescent="0.3">
      <c r="A20" s="67"/>
      <c r="B20" s="68"/>
      <c r="C20" s="68"/>
      <c r="D20" s="68"/>
      <c r="E20" s="68"/>
      <c r="F20" s="68"/>
      <c r="G20" s="68"/>
      <c r="H20" s="68"/>
    </row>
    <row r="21" spans="1:8" x14ac:dyDescent="0.3">
      <c r="A21" s="67"/>
      <c r="B21" s="68"/>
      <c r="C21" s="68"/>
      <c r="D21" s="68"/>
      <c r="E21" s="68"/>
      <c r="F21" s="68"/>
      <c r="G21" s="68"/>
      <c r="H21" s="68"/>
    </row>
    <row r="22" spans="1:8" x14ac:dyDescent="0.3">
      <c r="A22" s="67"/>
      <c r="B22" s="68"/>
      <c r="C22" s="68"/>
      <c r="D22" s="68"/>
      <c r="E22" s="68"/>
      <c r="F22" s="68"/>
      <c r="G22" s="68"/>
      <c r="H22" s="68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71" t="s">
        <v>126</v>
      </c>
      <c r="B24" s="71"/>
      <c r="C24" s="71"/>
      <c r="D24" s="71"/>
      <c r="E24" s="71"/>
      <c r="F24" s="71"/>
      <c r="G24" s="71"/>
      <c r="H24" s="71"/>
    </row>
    <row r="25" spans="1:8" x14ac:dyDescent="0.3">
      <c r="A25" s="67" t="s">
        <v>127</v>
      </c>
      <c r="B25" s="68"/>
      <c r="C25" s="68"/>
      <c r="D25" s="68"/>
      <c r="E25" s="68"/>
      <c r="F25" s="68"/>
      <c r="G25" s="68"/>
      <c r="H25" s="68"/>
    </row>
    <row r="26" spans="1:8" x14ac:dyDescent="0.3">
      <c r="A26" s="67"/>
      <c r="B26" s="68"/>
      <c r="C26" s="68"/>
      <c r="D26" s="68"/>
      <c r="E26" s="68"/>
      <c r="F26" s="68"/>
      <c r="G26" s="68"/>
      <c r="H26" s="68"/>
    </row>
    <row r="27" spans="1:8" x14ac:dyDescent="0.3">
      <c r="A27" s="67"/>
      <c r="B27" s="68"/>
      <c r="C27" s="68"/>
      <c r="D27" s="68"/>
      <c r="E27" s="68"/>
      <c r="F27" s="68"/>
      <c r="G27" s="68"/>
      <c r="H27" s="68"/>
    </row>
    <row r="28" spans="1:8" x14ac:dyDescent="0.3">
      <c r="A28" s="67"/>
      <c r="B28" s="68"/>
      <c r="C28" s="68"/>
      <c r="D28" s="68"/>
      <c r="E28" s="68"/>
      <c r="F28" s="68"/>
      <c r="G28" s="68"/>
      <c r="H28" s="68"/>
    </row>
    <row r="29" spans="1:8" x14ac:dyDescent="0.3">
      <c r="A29" s="67"/>
      <c r="B29" s="68"/>
      <c r="C29" s="68"/>
      <c r="D29" s="68"/>
      <c r="E29" s="68"/>
      <c r="F29" s="68"/>
      <c r="G29" s="68"/>
      <c r="H29" s="68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0" t="s">
        <v>196</v>
      </c>
      <c r="B31" s="10" t="s">
        <v>71</v>
      </c>
      <c r="C31" s="1"/>
      <c r="D31" s="1"/>
      <c r="E31" s="1"/>
      <c r="F31" s="1"/>
      <c r="G31" s="1"/>
      <c r="H31" s="1"/>
    </row>
    <row r="32" spans="1:8" x14ac:dyDescent="0.3">
      <c r="A32" s="11" t="s">
        <v>197</v>
      </c>
      <c r="B32" s="19" t="s">
        <v>73</v>
      </c>
      <c r="C32" s="1"/>
      <c r="D32" s="1"/>
      <c r="E32" s="1"/>
      <c r="F32" s="1"/>
      <c r="G32" s="1"/>
      <c r="H32" s="1"/>
    </row>
    <row r="33" spans="1:8" x14ac:dyDescent="0.3">
      <c r="A33" s="11" t="s">
        <v>198</v>
      </c>
      <c r="B33" s="19" t="s">
        <v>73</v>
      </c>
      <c r="C33" s="1"/>
      <c r="D33" s="1"/>
      <c r="E33" s="1"/>
      <c r="F33" s="1"/>
      <c r="G33" s="1"/>
      <c r="H33" s="1"/>
    </row>
    <row r="34" spans="1:8" x14ac:dyDescent="0.3">
      <c r="A34" s="11" t="s">
        <v>199</v>
      </c>
      <c r="B34" s="19" t="s">
        <v>73</v>
      </c>
      <c r="C34" s="1"/>
      <c r="D34" s="1"/>
      <c r="E34" s="1"/>
      <c r="F34" s="1"/>
      <c r="G34" s="1"/>
      <c r="H34" s="1"/>
    </row>
    <row r="35" spans="1:8" x14ac:dyDescent="0.3">
      <c r="A35" s="11" t="s">
        <v>200</v>
      </c>
      <c r="B35" s="19" t="s">
        <v>73</v>
      </c>
      <c r="C35" s="1"/>
      <c r="D35" s="1"/>
      <c r="E35" s="1"/>
      <c r="F35" s="1"/>
      <c r="G35" s="1"/>
      <c r="H35" s="1"/>
    </row>
    <row r="36" spans="1:8" x14ac:dyDescent="0.3">
      <c r="A36" s="11" t="s">
        <v>201</v>
      </c>
      <c r="B36" s="19" t="s">
        <v>73</v>
      </c>
      <c r="C36" s="1"/>
      <c r="D36" s="1"/>
      <c r="E36" s="1"/>
      <c r="F36" s="1"/>
      <c r="G36" s="1"/>
      <c r="H36" s="1"/>
    </row>
    <row r="37" spans="1:8" x14ac:dyDescent="0.3">
      <c r="A37" s="11" t="s">
        <v>202</v>
      </c>
      <c r="B37" s="19" t="s">
        <v>73</v>
      </c>
      <c r="C37" s="1"/>
      <c r="D37" s="1"/>
      <c r="E37" s="1"/>
      <c r="F37" s="1"/>
      <c r="G37" s="1"/>
      <c r="H37" s="1"/>
    </row>
  </sheetData>
  <mergeCells count="6">
    <mergeCell ref="A25:H29"/>
    <mergeCell ref="A1:H1"/>
    <mergeCell ref="A2:H2"/>
    <mergeCell ref="A12:H12"/>
    <mergeCell ref="A13:H22"/>
    <mergeCell ref="A24:H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2E2A-658E-4CD5-9ABE-18C35C147B2B}">
  <sheetPr codeName="Hoja4"/>
  <dimension ref="A1:N54"/>
  <sheetViews>
    <sheetView showGridLines="0" workbookViewId="0">
      <pane ySplit="1" topLeftCell="A2" activePane="bottomLeft" state="frozen"/>
      <selection pane="bottomLeft" activeCell="E10" sqref="E10"/>
    </sheetView>
  </sheetViews>
  <sheetFormatPr baseColWidth="10" defaultRowHeight="14.4" x14ac:dyDescent="0.3"/>
  <cols>
    <col min="1" max="1" width="10.88671875" bestFit="1" customWidth="1"/>
    <col min="2" max="2" width="10.33203125" bestFit="1" customWidth="1"/>
    <col min="3" max="3" width="12.21875" bestFit="1" customWidth="1"/>
    <col min="4" max="4" width="13.88671875" bestFit="1" customWidth="1"/>
    <col min="5" max="5" width="11.109375" bestFit="1" customWidth="1"/>
    <col min="6" max="6" width="7.5546875" bestFit="1" customWidth="1"/>
    <col min="7" max="7" width="15.33203125" bestFit="1" customWidth="1"/>
    <col min="8" max="8" width="16.5546875" bestFit="1" customWidth="1"/>
    <col min="9" max="9" width="20.5546875" bestFit="1" customWidth="1"/>
    <col min="10" max="10" width="20.44140625" bestFit="1" customWidth="1"/>
    <col min="11" max="11" width="16.5546875" bestFit="1" customWidth="1"/>
  </cols>
  <sheetData>
    <row r="1" spans="1:14" x14ac:dyDescent="0.3">
      <c r="A1" s="1" t="s">
        <v>0</v>
      </c>
      <c r="B1" s="1" t="s">
        <v>1</v>
      </c>
      <c r="C1" s="1" t="s">
        <v>50</v>
      </c>
      <c r="D1" s="1" t="s">
        <v>67</v>
      </c>
      <c r="E1" s="1" t="s">
        <v>7</v>
      </c>
      <c r="F1" s="1" t="s">
        <v>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73" t="s">
        <v>77</v>
      </c>
      <c r="M1" s="73" t="s">
        <v>203</v>
      </c>
      <c r="N1" s="73" t="s">
        <v>204</v>
      </c>
    </row>
    <row r="2" spans="1:14" x14ac:dyDescent="0.3">
      <c r="A2" s="1">
        <v>1</v>
      </c>
      <c r="B2" s="48">
        <v>45352</v>
      </c>
      <c r="C2" s="1" t="s">
        <v>51</v>
      </c>
      <c r="D2" s="1" t="s">
        <v>60</v>
      </c>
      <c r="E2" s="1">
        <v>1</v>
      </c>
      <c r="F2" s="8">
        <v>120000</v>
      </c>
      <c r="G2" s="1" t="s">
        <v>9</v>
      </c>
      <c r="H2" s="1" t="s">
        <v>10</v>
      </c>
      <c r="I2" s="1" t="s">
        <v>12</v>
      </c>
      <c r="J2" s="1" t="s">
        <v>13</v>
      </c>
      <c r="K2" s="8">
        <v>120000</v>
      </c>
      <c r="L2" s="72">
        <f>YEAR(Q_Transacciones_ETL[[#This Row],[Fecha]])</f>
        <v>2024</v>
      </c>
      <c r="M2" s="98">
        <f>Q_Transacciones_ETL[[#This Row],[Total]]*35%</f>
        <v>42000</v>
      </c>
      <c r="N2" s="74">
        <f t="shared" ref="N2:N54" si="0">SUBTOTAL(103,A2)</f>
        <v>1</v>
      </c>
    </row>
    <row r="3" spans="1:14" x14ac:dyDescent="0.3">
      <c r="A3" s="1">
        <v>2</v>
      </c>
      <c r="B3" s="48">
        <v>45352</v>
      </c>
      <c r="C3" s="1" t="s">
        <v>52</v>
      </c>
      <c r="D3" s="1" t="s">
        <v>61</v>
      </c>
      <c r="E3" s="1">
        <v>3</v>
      </c>
      <c r="F3" s="8">
        <v>7500</v>
      </c>
      <c r="G3" s="1" t="s">
        <v>14</v>
      </c>
      <c r="H3" s="1" t="s">
        <v>15</v>
      </c>
      <c r="I3" s="1" t="s">
        <v>17</v>
      </c>
      <c r="J3" s="1" t="s">
        <v>18</v>
      </c>
      <c r="K3" s="8">
        <v>2500</v>
      </c>
      <c r="L3" s="72">
        <f>YEAR(Q_Transacciones_ETL[[#This Row],[Fecha]])</f>
        <v>2024</v>
      </c>
      <c r="M3" s="98">
        <f>Q_Transacciones_ETL[[#This Row],[Total]]*35%</f>
        <v>2625</v>
      </c>
      <c r="N3" s="74">
        <f t="shared" si="0"/>
        <v>1</v>
      </c>
    </row>
    <row r="4" spans="1:14" x14ac:dyDescent="0.3">
      <c r="A4" s="1">
        <v>3</v>
      </c>
      <c r="B4" s="48">
        <v>45353</v>
      </c>
      <c r="C4" s="1" t="s">
        <v>53</v>
      </c>
      <c r="D4" s="1" t="s">
        <v>62</v>
      </c>
      <c r="E4" s="1">
        <v>2</v>
      </c>
      <c r="F4" s="8">
        <v>90000</v>
      </c>
      <c r="G4" s="1" t="s">
        <v>19</v>
      </c>
      <c r="H4" s="1" t="s">
        <v>20</v>
      </c>
      <c r="I4" s="1" t="s">
        <v>25</v>
      </c>
      <c r="J4" s="1" t="s">
        <v>26</v>
      </c>
      <c r="K4" s="8">
        <v>45000</v>
      </c>
      <c r="L4" s="72">
        <f>YEAR(Q_Transacciones_ETL[[#This Row],[Fecha]])</f>
        <v>2024</v>
      </c>
      <c r="M4" s="98">
        <f>Q_Transacciones_ETL[[#This Row],[Total]]*35%</f>
        <v>31499.999999999996</v>
      </c>
      <c r="N4" s="74">
        <f t="shared" si="0"/>
        <v>1</v>
      </c>
    </row>
    <row r="5" spans="1:14" x14ac:dyDescent="0.3">
      <c r="A5" s="1">
        <v>4</v>
      </c>
      <c r="B5" s="48">
        <v>45353</v>
      </c>
      <c r="C5" s="1" t="s">
        <v>54</v>
      </c>
      <c r="D5" s="1" t="s">
        <v>63</v>
      </c>
      <c r="E5" s="1">
        <v>1</v>
      </c>
      <c r="F5" s="8">
        <v>11000</v>
      </c>
      <c r="G5" s="1" t="s">
        <v>22</v>
      </c>
      <c r="H5" s="1" t="s">
        <v>23</v>
      </c>
      <c r="I5" s="1" t="s">
        <v>30</v>
      </c>
      <c r="J5" s="1" t="s">
        <v>31</v>
      </c>
      <c r="K5" s="8">
        <v>11000</v>
      </c>
      <c r="L5" s="72">
        <f>YEAR(Q_Transacciones_ETL[[#This Row],[Fecha]])</f>
        <v>2024</v>
      </c>
      <c r="M5" s="98">
        <f>Q_Transacciones_ETL[[#This Row],[Total]]*35%</f>
        <v>3849.9999999999995</v>
      </c>
      <c r="N5" s="74">
        <f t="shared" si="0"/>
        <v>1</v>
      </c>
    </row>
    <row r="6" spans="1:14" x14ac:dyDescent="0.3">
      <c r="A6" s="1">
        <v>5</v>
      </c>
      <c r="B6" s="48">
        <v>45385</v>
      </c>
      <c r="C6" s="1" t="s">
        <v>55</v>
      </c>
      <c r="D6" s="1" t="s">
        <v>64</v>
      </c>
      <c r="E6" s="1">
        <v>2</v>
      </c>
      <c r="F6" s="8">
        <v>13000</v>
      </c>
      <c r="G6" s="1" t="s">
        <v>27</v>
      </c>
      <c r="H6" s="1" t="s">
        <v>28</v>
      </c>
      <c r="I6" s="1" t="s">
        <v>74</v>
      </c>
      <c r="J6" s="1" t="s">
        <v>33</v>
      </c>
      <c r="K6" s="8">
        <v>6500</v>
      </c>
      <c r="L6" s="72">
        <f>YEAR(Q_Transacciones_ETL[[#This Row],[Fecha]])</f>
        <v>2024</v>
      </c>
      <c r="M6" s="98">
        <f>Q_Transacciones_ETL[[#This Row],[Total]]*35%</f>
        <v>4550</v>
      </c>
      <c r="N6" s="74">
        <f t="shared" si="0"/>
        <v>1</v>
      </c>
    </row>
    <row r="7" spans="1:14" x14ac:dyDescent="0.3">
      <c r="A7" s="1">
        <v>6</v>
      </c>
      <c r="B7" s="48">
        <v>45385</v>
      </c>
      <c r="C7" s="1" t="s">
        <v>51</v>
      </c>
      <c r="D7" s="1" t="s">
        <v>61</v>
      </c>
      <c r="E7" s="1">
        <v>1</v>
      </c>
      <c r="F7" s="8">
        <v>2500</v>
      </c>
      <c r="G7" s="1" t="s">
        <v>9</v>
      </c>
      <c r="H7" s="1" t="s">
        <v>10</v>
      </c>
      <c r="I7" s="1" t="s">
        <v>17</v>
      </c>
      <c r="J7" s="1" t="s">
        <v>18</v>
      </c>
      <c r="K7" s="8">
        <v>2500</v>
      </c>
      <c r="L7" s="72">
        <f>YEAR(Q_Transacciones_ETL[[#This Row],[Fecha]])</f>
        <v>2024</v>
      </c>
      <c r="M7" s="98">
        <f>Q_Transacciones_ETL[[#This Row],[Total]]*35%</f>
        <v>875</v>
      </c>
      <c r="N7" s="74">
        <f t="shared" si="0"/>
        <v>1</v>
      </c>
    </row>
    <row r="8" spans="1:14" x14ac:dyDescent="0.3">
      <c r="A8" s="1">
        <v>7</v>
      </c>
      <c r="B8" s="48">
        <v>45386</v>
      </c>
      <c r="C8" s="1" t="s">
        <v>56</v>
      </c>
      <c r="D8" s="1" t="s">
        <v>65</v>
      </c>
      <c r="E8" s="1">
        <v>2</v>
      </c>
      <c r="F8" s="8">
        <v>56000</v>
      </c>
      <c r="G8" s="1" t="s">
        <v>34</v>
      </c>
      <c r="H8" s="1" t="s">
        <v>75</v>
      </c>
      <c r="I8" s="1" t="s">
        <v>37</v>
      </c>
      <c r="J8" s="1" t="s">
        <v>38</v>
      </c>
      <c r="K8" s="8">
        <v>28000</v>
      </c>
      <c r="L8" s="72">
        <f>YEAR(Q_Transacciones_ETL[[#This Row],[Fecha]])</f>
        <v>2024</v>
      </c>
      <c r="M8" s="98">
        <f>Q_Transacciones_ETL[[#This Row],[Total]]*35%</f>
        <v>19600</v>
      </c>
      <c r="N8" s="74">
        <f t="shared" si="0"/>
        <v>1</v>
      </c>
    </row>
    <row r="9" spans="1:14" x14ac:dyDescent="0.3">
      <c r="A9" s="1">
        <v>8</v>
      </c>
      <c r="B9" s="48">
        <v>45387</v>
      </c>
      <c r="C9" s="1" t="s">
        <v>57</v>
      </c>
      <c r="D9" s="1" t="s">
        <v>66</v>
      </c>
      <c r="E9" s="1">
        <v>1</v>
      </c>
      <c r="F9" s="8">
        <v>9500</v>
      </c>
      <c r="G9" s="1" t="s">
        <v>39</v>
      </c>
      <c r="H9" s="1" t="s">
        <v>40</v>
      </c>
      <c r="I9" s="1" t="s">
        <v>76</v>
      </c>
      <c r="J9" s="1" t="s">
        <v>43</v>
      </c>
      <c r="K9" s="8">
        <v>9500</v>
      </c>
      <c r="L9" s="72">
        <f>YEAR(Q_Transacciones_ETL[[#This Row],[Fecha]])</f>
        <v>2024</v>
      </c>
      <c r="M9" s="98">
        <f>Q_Transacciones_ETL[[#This Row],[Total]]*35%</f>
        <v>3325</v>
      </c>
      <c r="N9" s="74">
        <f t="shared" si="0"/>
        <v>1</v>
      </c>
    </row>
    <row r="10" spans="1:14" x14ac:dyDescent="0.3">
      <c r="A10" s="1">
        <v>9</v>
      </c>
      <c r="B10" s="48">
        <v>45388</v>
      </c>
      <c r="C10" s="1" t="s">
        <v>58</v>
      </c>
      <c r="D10" s="1" t="s">
        <v>63</v>
      </c>
      <c r="E10" s="1">
        <v>4</v>
      </c>
      <c r="F10" s="8">
        <v>44000</v>
      </c>
      <c r="G10" s="1" t="s">
        <v>44</v>
      </c>
      <c r="H10" s="1" t="s">
        <v>45</v>
      </c>
      <c r="I10" s="1" t="s">
        <v>30</v>
      </c>
      <c r="J10" s="1" t="s">
        <v>31</v>
      </c>
      <c r="K10" s="8">
        <v>11000</v>
      </c>
      <c r="L10" s="72">
        <f>YEAR(Q_Transacciones_ETL[[#This Row],[Fecha]])</f>
        <v>2024</v>
      </c>
      <c r="M10" s="98">
        <f>Q_Transacciones_ETL[[#This Row],[Total]]*35%</f>
        <v>15399.999999999998</v>
      </c>
      <c r="N10" s="74">
        <f t="shared" si="0"/>
        <v>1</v>
      </c>
    </row>
    <row r="11" spans="1:14" x14ac:dyDescent="0.3">
      <c r="A11" s="1">
        <v>10</v>
      </c>
      <c r="B11" s="48">
        <v>45662</v>
      </c>
      <c r="C11" s="1" t="s">
        <v>59</v>
      </c>
      <c r="D11" s="1" t="s">
        <v>60</v>
      </c>
      <c r="E11" s="1">
        <v>1</v>
      </c>
      <c r="F11" s="8">
        <v>120000</v>
      </c>
      <c r="G11" s="1" t="s">
        <v>47</v>
      </c>
      <c r="H11" s="1" t="s">
        <v>48</v>
      </c>
      <c r="I11" s="1" t="s">
        <v>12</v>
      </c>
      <c r="J11" s="1" t="s">
        <v>13</v>
      </c>
      <c r="K11" s="8">
        <v>120000</v>
      </c>
      <c r="L11" s="72">
        <f>YEAR(Q_Transacciones_ETL[[#This Row],[Fecha]])</f>
        <v>2025</v>
      </c>
      <c r="M11" s="98">
        <f>Q_Transacciones_ETL[[#This Row],[Total]]*35%</f>
        <v>42000</v>
      </c>
      <c r="N11" s="74">
        <f t="shared" si="0"/>
        <v>1</v>
      </c>
    </row>
    <row r="12" spans="1:14" x14ac:dyDescent="0.3">
      <c r="A12" s="1">
        <v>11</v>
      </c>
      <c r="B12" s="48">
        <v>45663</v>
      </c>
      <c r="C12" s="1" t="s">
        <v>59</v>
      </c>
      <c r="D12" s="1" t="s">
        <v>62</v>
      </c>
      <c r="E12" s="1">
        <v>1</v>
      </c>
      <c r="F12" s="8">
        <v>45000</v>
      </c>
      <c r="G12" s="1" t="s">
        <v>47</v>
      </c>
      <c r="H12" s="1" t="s">
        <v>48</v>
      </c>
      <c r="I12" s="1" t="s">
        <v>25</v>
      </c>
      <c r="J12" s="1" t="s">
        <v>26</v>
      </c>
      <c r="K12" s="8">
        <v>45000</v>
      </c>
      <c r="L12" s="72">
        <f>YEAR(Q_Transacciones_ETL[[#This Row],[Fecha]])</f>
        <v>2025</v>
      </c>
      <c r="M12" s="98">
        <f>Q_Transacciones_ETL[[#This Row],[Total]]*35%</f>
        <v>15749.999999999998</v>
      </c>
      <c r="N12" s="74">
        <f t="shared" si="0"/>
        <v>1</v>
      </c>
    </row>
    <row r="13" spans="1:14" x14ac:dyDescent="0.3">
      <c r="A13" s="1">
        <v>12</v>
      </c>
      <c r="B13" s="48">
        <v>45694</v>
      </c>
      <c r="C13" s="1" t="s">
        <v>52</v>
      </c>
      <c r="D13" s="1" t="s">
        <v>63</v>
      </c>
      <c r="E13" s="1">
        <v>1</v>
      </c>
      <c r="F13" s="8">
        <v>11000</v>
      </c>
      <c r="G13" s="1" t="s">
        <v>14</v>
      </c>
      <c r="H13" s="1" t="s">
        <v>15</v>
      </c>
      <c r="I13" s="1" t="s">
        <v>30</v>
      </c>
      <c r="J13" s="1" t="s">
        <v>31</v>
      </c>
      <c r="K13" s="8">
        <v>11000</v>
      </c>
      <c r="L13" s="72">
        <f>YEAR(Q_Transacciones_ETL[[#This Row],[Fecha]])</f>
        <v>2025</v>
      </c>
      <c r="M13" s="98">
        <f>Q_Transacciones_ETL[[#This Row],[Total]]*35%</f>
        <v>3849.9999999999995</v>
      </c>
      <c r="N13" s="74">
        <f t="shared" si="0"/>
        <v>1</v>
      </c>
    </row>
    <row r="14" spans="1:14" x14ac:dyDescent="0.3">
      <c r="A14" s="1">
        <v>13</v>
      </c>
      <c r="B14" s="48">
        <v>45695</v>
      </c>
      <c r="C14" s="1" t="s">
        <v>53</v>
      </c>
      <c r="D14" s="1" t="s">
        <v>64</v>
      </c>
      <c r="E14" s="1">
        <v>3</v>
      </c>
      <c r="F14" s="8">
        <v>19500</v>
      </c>
      <c r="G14" s="1" t="s">
        <v>19</v>
      </c>
      <c r="H14" s="1" t="s">
        <v>20</v>
      </c>
      <c r="I14" s="1" t="s">
        <v>74</v>
      </c>
      <c r="J14" s="1" t="s">
        <v>33</v>
      </c>
      <c r="K14" s="8">
        <v>6500</v>
      </c>
      <c r="L14" s="72">
        <f>YEAR(Q_Transacciones_ETL[[#This Row],[Fecha]])</f>
        <v>2025</v>
      </c>
      <c r="M14" s="98">
        <f>Q_Transacciones_ETL[[#This Row],[Total]]*35%</f>
        <v>6825</v>
      </c>
      <c r="N14" s="74">
        <f t="shared" si="0"/>
        <v>1</v>
      </c>
    </row>
    <row r="15" spans="1:14" x14ac:dyDescent="0.3">
      <c r="A15" s="1">
        <v>14</v>
      </c>
      <c r="B15" s="48">
        <v>45696</v>
      </c>
      <c r="C15" s="1" t="s">
        <v>54</v>
      </c>
      <c r="D15" s="1" t="s">
        <v>60</v>
      </c>
      <c r="E15" s="1">
        <v>2</v>
      </c>
      <c r="F15" s="8">
        <v>240000</v>
      </c>
      <c r="G15" s="1" t="s">
        <v>22</v>
      </c>
      <c r="H15" s="1" t="s">
        <v>23</v>
      </c>
      <c r="I15" s="1" t="s">
        <v>12</v>
      </c>
      <c r="J15" s="1" t="s">
        <v>13</v>
      </c>
      <c r="K15" s="8">
        <v>120000</v>
      </c>
      <c r="L15" s="72">
        <f>YEAR(Q_Transacciones_ETL[[#This Row],[Fecha]])</f>
        <v>2025</v>
      </c>
      <c r="M15" s="98">
        <f>Q_Transacciones_ETL[[#This Row],[Total]]*35%</f>
        <v>84000</v>
      </c>
      <c r="N15" s="74">
        <f t="shared" si="0"/>
        <v>1</v>
      </c>
    </row>
    <row r="16" spans="1:14" x14ac:dyDescent="0.3">
      <c r="A16" s="1">
        <v>15</v>
      </c>
      <c r="B16" s="48">
        <v>45697</v>
      </c>
      <c r="C16" s="1" t="s">
        <v>55</v>
      </c>
      <c r="D16" s="1" t="s">
        <v>61</v>
      </c>
      <c r="E16" s="1">
        <v>5</v>
      </c>
      <c r="F16" s="8">
        <v>12500</v>
      </c>
      <c r="G16" s="1" t="s">
        <v>27</v>
      </c>
      <c r="H16" s="1" t="s">
        <v>28</v>
      </c>
      <c r="I16" s="1" t="s">
        <v>17</v>
      </c>
      <c r="J16" s="1" t="s">
        <v>18</v>
      </c>
      <c r="K16" s="8">
        <v>2500</v>
      </c>
      <c r="L16" s="72">
        <f>YEAR(Q_Transacciones_ETL[[#This Row],[Fecha]])</f>
        <v>2025</v>
      </c>
      <c r="M16" s="98">
        <f>Q_Transacciones_ETL[[#This Row],[Total]]*35%</f>
        <v>4375</v>
      </c>
      <c r="N16" s="74">
        <f t="shared" si="0"/>
        <v>1</v>
      </c>
    </row>
    <row r="17" spans="1:14" x14ac:dyDescent="0.3">
      <c r="A17" s="1">
        <v>16</v>
      </c>
      <c r="B17" s="48">
        <v>45698</v>
      </c>
      <c r="C17" s="1" t="s">
        <v>56</v>
      </c>
      <c r="D17" s="1" t="s">
        <v>66</v>
      </c>
      <c r="E17" s="1">
        <v>1</v>
      </c>
      <c r="F17" s="8">
        <v>9500</v>
      </c>
      <c r="G17" s="1" t="s">
        <v>34</v>
      </c>
      <c r="H17" s="1" t="s">
        <v>75</v>
      </c>
      <c r="I17" s="1" t="s">
        <v>76</v>
      </c>
      <c r="J17" s="1" t="s">
        <v>43</v>
      </c>
      <c r="K17" s="8">
        <v>9500</v>
      </c>
      <c r="L17" s="72">
        <f>YEAR(Q_Transacciones_ETL[[#This Row],[Fecha]])</f>
        <v>2025</v>
      </c>
      <c r="M17" s="98">
        <f>Q_Transacciones_ETL[[#This Row],[Total]]*35%</f>
        <v>3325</v>
      </c>
      <c r="N17" s="74">
        <f t="shared" si="0"/>
        <v>1</v>
      </c>
    </row>
    <row r="18" spans="1:14" x14ac:dyDescent="0.3">
      <c r="A18" s="1">
        <v>17</v>
      </c>
      <c r="B18" s="48">
        <v>45699</v>
      </c>
      <c r="C18" s="1" t="s">
        <v>57</v>
      </c>
      <c r="D18" s="1" t="s">
        <v>65</v>
      </c>
      <c r="E18" s="1">
        <v>1</v>
      </c>
      <c r="F18" s="8">
        <v>28000</v>
      </c>
      <c r="G18" s="1" t="s">
        <v>39</v>
      </c>
      <c r="H18" s="1" t="s">
        <v>40</v>
      </c>
      <c r="I18" s="1" t="s">
        <v>37</v>
      </c>
      <c r="J18" s="1" t="s">
        <v>38</v>
      </c>
      <c r="K18" s="8">
        <v>28000</v>
      </c>
      <c r="L18" s="72">
        <f>YEAR(Q_Transacciones_ETL[[#This Row],[Fecha]])</f>
        <v>2025</v>
      </c>
      <c r="M18" s="98">
        <f>Q_Transacciones_ETL[[#This Row],[Total]]*35%</f>
        <v>9800</v>
      </c>
      <c r="N18" s="74">
        <f t="shared" si="0"/>
        <v>1</v>
      </c>
    </row>
    <row r="19" spans="1:14" x14ac:dyDescent="0.3">
      <c r="A19" s="1">
        <v>18</v>
      </c>
      <c r="B19" s="48">
        <v>45700</v>
      </c>
      <c r="C19" s="1" t="s">
        <v>58</v>
      </c>
      <c r="D19" s="1" t="s">
        <v>60</v>
      </c>
      <c r="E19" s="1">
        <v>2</v>
      </c>
      <c r="F19" s="8">
        <v>240000</v>
      </c>
      <c r="G19" s="1" t="s">
        <v>44</v>
      </c>
      <c r="H19" s="1" t="s">
        <v>45</v>
      </c>
      <c r="I19" s="1" t="s">
        <v>12</v>
      </c>
      <c r="J19" s="1" t="s">
        <v>13</v>
      </c>
      <c r="K19" s="8">
        <v>120000</v>
      </c>
      <c r="L19" s="72">
        <f>YEAR(Q_Transacciones_ETL[[#This Row],[Fecha]])</f>
        <v>2025</v>
      </c>
      <c r="M19" s="98">
        <f>Q_Transacciones_ETL[[#This Row],[Total]]*35%</f>
        <v>84000</v>
      </c>
      <c r="N19" s="74">
        <f t="shared" si="0"/>
        <v>1</v>
      </c>
    </row>
    <row r="20" spans="1:14" x14ac:dyDescent="0.3">
      <c r="A20" s="1">
        <v>19</v>
      </c>
      <c r="B20" s="48">
        <v>45785</v>
      </c>
      <c r="C20" s="1" t="s">
        <v>59</v>
      </c>
      <c r="D20" s="1" t="s">
        <v>62</v>
      </c>
      <c r="E20" s="1">
        <v>2</v>
      </c>
      <c r="F20" s="8">
        <v>90000</v>
      </c>
      <c r="G20" s="1" t="s">
        <v>47</v>
      </c>
      <c r="H20" s="1" t="s">
        <v>48</v>
      </c>
      <c r="I20" s="1" t="s">
        <v>25</v>
      </c>
      <c r="J20" s="1" t="s">
        <v>26</v>
      </c>
      <c r="K20" s="8">
        <v>45000</v>
      </c>
      <c r="L20" s="72">
        <f>YEAR(Q_Transacciones_ETL[[#This Row],[Fecha]])</f>
        <v>2025</v>
      </c>
      <c r="M20" s="98">
        <f>Q_Transacciones_ETL[[#This Row],[Total]]*35%</f>
        <v>31499.999999999996</v>
      </c>
      <c r="N20" s="74">
        <f t="shared" si="0"/>
        <v>1</v>
      </c>
    </row>
    <row r="21" spans="1:14" x14ac:dyDescent="0.3">
      <c r="A21" s="1">
        <v>20</v>
      </c>
      <c r="B21" s="48">
        <v>45792</v>
      </c>
      <c r="C21" s="1" t="s">
        <v>54</v>
      </c>
      <c r="D21" s="1" t="s">
        <v>64</v>
      </c>
      <c r="E21" s="1">
        <v>1</v>
      </c>
      <c r="F21" s="8">
        <v>6500</v>
      </c>
      <c r="G21" s="1" t="s">
        <v>22</v>
      </c>
      <c r="H21" s="1" t="s">
        <v>23</v>
      </c>
      <c r="I21" s="1" t="s">
        <v>74</v>
      </c>
      <c r="J21" s="1" t="s">
        <v>33</v>
      </c>
      <c r="K21" s="8">
        <v>6500</v>
      </c>
      <c r="L21" s="72">
        <f>YEAR(Q_Transacciones_ETL[[#This Row],[Fecha]])</f>
        <v>2025</v>
      </c>
      <c r="M21" s="98">
        <f>Q_Transacciones_ETL[[#This Row],[Total]]*35%</f>
        <v>2275</v>
      </c>
      <c r="N21" s="74">
        <f t="shared" si="0"/>
        <v>1</v>
      </c>
    </row>
    <row r="22" spans="1:14" x14ac:dyDescent="0.3">
      <c r="A22" s="1">
        <v>21</v>
      </c>
      <c r="B22" s="48">
        <v>45815</v>
      </c>
      <c r="C22" s="1" t="s">
        <v>51</v>
      </c>
      <c r="D22" s="1" t="s">
        <v>63</v>
      </c>
      <c r="E22" s="1">
        <v>1</v>
      </c>
      <c r="F22" s="8">
        <v>11000</v>
      </c>
      <c r="G22" s="1" t="s">
        <v>9</v>
      </c>
      <c r="H22" s="1" t="s">
        <v>10</v>
      </c>
      <c r="I22" s="1" t="s">
        <v>30</v>
      </c>
      <c r="J22" s="1" t="s">
        <v>31</v>
      </c>
      <c r="K22" s="8">
        <v>11000</v>
      </c>
      <c r="L22" s="72">
        <f>YEAR(Q_Transacciones_ETL[[#This Row],[Fecha]])</f>
        <v>2025</v>
      </c>
      <c r="M22" s="98">
        <f>Q_Transacciones_ETL[[#This Row],[Total]]*35%</f>
        <v>3849.9999999999995</v>
      </c>
      <c r="N22" s="74">
        <f t="shared" si="0"/>
        <v>1</v>
      </c>
    </row>
    <row r="23" spans="1:14" x14ac:dyDescent="0.3">
      <c r="A23" s="1">
        <v>22</v>
      </c>
      <c r="B23" s="48">
        <v>45816</v>
      </c>
      <c r="C23" s="1" t="s">
        <v>52</v>
      </c>
      <c r="D23" s="1" t="s">
        <v>63</v>
      </c>
      <c r="E23" s="1">
        <v>3</v>
      </c>
      <c r="F23" s="8">
        <v>33000</v>
      </c>
      <c r="G23" s="1" t="s">
        <v>14</v>
      </c>
      <c r="H23" s="1" t="s">
        <v>15</v>
      </c>
      <c r="I23" s="1" t="s">
        <v>30</v>
      </c>
      <c r="J23" s="1" t="s">
        <v>31</v>
      </c>
      <c r="K23" s="8">
        <v>11000</v>
      </c>
      <c r="L23" s="72">
        <f>YEAR(Q_Transacciones_ETL[[#This Row],[Fecha]])</f>
        <v>2025</v>
      </c>
      <c r="M23" s="98">
        <f>Q_Transacciones_ETL[[#This Row],[Total]]*35%</f>
        <v>11550</v>
      </c>
      <c r="N23" s="74">
        <f t="shared" si="0"/>
        <v>1</v>
      </c>
    </row>
    <row r="24" spans="1:14" x14ac:dyDescent="0.3">
      <c r="A24" s="1">
        <v>23</v>
      </c>
      <c r="B24" s="48">
        <v>45817</v>
      </c>
      <c r="C24" s="1" t="s">
        <v>53</v>
      </c>
      <c r="D24" s="1" t="s">
        <v>61</v>
      </c>
      <c r="E24" s="1">
        <v>2</v>
      </c>
      <c r="F24" s="8">
        <v>5000</v>
      </c>
      <c r="G24" s="1" t="s">
        <v>19</v>
      </c>
      <c r="H24" s="1" t="s">
        <v>20</v>
      </c>
      <c r="I24" s="1" t="s">
        <v>17</v>
      </c>
      <c r="J24" s="1" t="s">
        <v>18</v>
      </c>
      <c r="K24" s="8">
        <v>2500</v>
      </c>
      <c r="L24" s="72">
        <f>YEAR(Q_Transacciones_ETL[[#This Row],[Fecha]])</f>
        <v>2025</v>
      </c>
      <c r="M24" s="98">
        <f>Q_Transacciones_ETL[[#This Row],[Total]]*35%</f>
        <v>1750</v>
      </c>
      <c r="N24" s="74">
        <f t="shared" si="0"/>
        <v>1</v>
      </c>
    </row>
    <row r="25" spans="1:14" x14ac:dyDescent="0.3">
      <c r="A25" s="1">
        <v>24</v>
      </c>
      <c r="B25" s="48">
        <v>45818</v>
      </c>
      <c r="C25" s="1" t="s">
        <v>54</v>
      </c>
      <c r="D25" s="1" t="s">
        <v>65</v>
      </c>
      <c r="E25" s="1">
        <v>1</v>
      </c>
      <c r="F25" s="8">
        <v>28000</v>
      </c>
      <c r="G25" s="1" t="s">
        <v>22</v>
      </c>
      <c r="H25" s="1" t="s">
        <v>23</v>
      </c>
      <c r="I25" s="1" t="s">
        <v>37</v>
      </c>
      <c r="J25" s="1" t="s">
        <v>38</v>
      </c>
      <c r="K25" s="8">
        <v>28000</v>
      </c>
      <c r="L25" s="72">
        <f>YEAR(Q_Transacciones_ETL[[#This Row],[Fecha]])</f>
        <v>2025</v>
      </c>
      <c r="M25" s="98">
        <f>Q_Transacciones_ETL[[#This Row],[Total]]*35%</f>
        <v>9800</v>
      </c>
      <c r="N25" s="74">
        <f t="shared" si="0"/>
        <v>1</v>
      </c>
    </row>
    <row r="26" spans="1:14" x14ac:dyDescent="0.3">
      <c r="A26" s="1">
        <v>25</v>
      </c>
      <c r="B26" s="48">
        <v>45819</v>
      </c>
      <c r="C26" s="1" t="s">
        <v>55</v>
      </c>
      <c r="D26" s="1" t="s">
        <v>66</v>
      </c>
      <c r="E26" s="1">
        <v>2</v>
      </c>
      <c r="F26" s="8">
        <v>19000</v>
      </c>
      <c r="G26" s="1" t="s">
        <v>27</v>
      </c>
      <c r="H26" s="1" t="s">
        <v>28</v>
      </c>
      <c r="I26" s="1" t="s">
        <v>76</v>
      </c>
      <c r="J26" s="1" t="s">
        <v>43</v>
      </c>
      <c r="K26" s="8">
        <v>9500</v>
      </c>
      <c r="L26" s="72">
        <f>YEAR(Q_Transacciones_ETL[[#This Row],[Fecha]])</f>
        <v>2025</v>
      </c>
      <c r="M26" s="98">
        <f>Q_Transacciones_ETL[[#This Row],[Total]]*35%</f>
        <v>6650</v>
      </c>
      <c r="N26" s="74">
        <f t="shared" si="0"/>
        <v>1</v>
      </c>
    </row>
    <row r="27" spans="1:14" x14ac:dyDescent="0.3">
      <c r="A27" s="1">
        <v>26</v>
      </c>
      <c r="B27" s="48">
        <v>45820</v>
      </c>
      <c r="C27" s="1" t="s">
        <v>56</v>
      </c>
      <c r="D27" s="1" t="s">
        <v>60</v>
      </c>
      <c r="E27" s="1">
        <v>1</v>
      </c>
      <c r="F27" s="8">
        <v>120000</v>
      </c>
      <c r="G27" s="1" t="s">
        <v>34</v>
      </c>
      <c r="H27" s="1" t="s">
        <v>75</v>
      </c>
      <c r="I27" s="1" t="s">
        <v>12</v>
      </c>
      <c r="J27" s="1" t="s">
        <v>13</v>
      </c>
      <c r="K27" s="8">
        <v>120000</v>
      </c>
      <c r="L27" s="72">
        <f>YEAR(Q_Transacciones_ETL[[#This Row],[Fecha]])</f>
        <v>2025</v>
      </c>
      <c r="M27" s="98">
        <f>Q_Transacciones_ETL[[#This Row],[Total]]*35%</f>
        <v>42000</v>
      </c>
      <c r="N27" s="74">
        <f t="shared" si="0"/>
        <v>1</v>
      </c>
    </row>
    <row r="28" spans="1:14" x14ac:dyDescent="0.3">
      <c r="A28" s="1">
        <v>27</v>
      </c>
      <c r="B28" s="48">
        <v>45821</v>
      </c>
      <c r="C28" s="1" t="s">
        <v>57</v>
      </c>
      <c r="D28" s="1" t="s">
        <v>62</v>
      </c>
      <c r="E28" s="1">
        <v>1</v>
      </c>
      <c r="F28" s="8">
        <v>45000</v>
      </c>
      <c r="G28" s="1" t="s">
        <v>39</v>
      </c>
      <c r="H28" s="1" t="s">
        <v>40</v>
      </c>
      <c r="I28" s="1" t="s">
        <v>25</v>
      </c>
      <c r="J28" s="1" t="s">
        <v>26</v>
      </c>
      <c r="K28" s="8">
        <v>45000</v>
      </c>
      <c r="L28" s="72">
        <f>YEAR(Q_Transacciones_ETL[[#This Row],[Fecha]])</f>
        <v>2025</v>
      </c>
      <c r="M28" s="98">
        <f>Q_Transacciones_ETL[[#This Row],[Total]]*35%</f>
        <v>15749.999999999998</v>
      </c>
      <c r="N28" s="74">
        <f t="shared" si="0"/>
        <v>1</v>
      </c>
    </row>
    <row r="29" spans="1:14" x14ac:dyDescent="0.3">
      <c r="A29" s="1">
        <v>28</v>
      </c>
      <c r="B29" s="48">
        <v>46028</v>
      </c>
      <c r="C29" s="1" t="s">
        <v>58</v>
      </c>
      <c r="D29" s="1" t="s">
        <v>64</v>
      </c>
      <c r="E29" s="1">
        <v>2</v>
      </c>
      <c r="F29" s="8">
        <v>13000</v>
      </c>
      <c r="G29" s="1" t="s">
        <v>44</v>
      </c>
      <c r="H29" s="1" t="s">
        <v>45</v>
      </c>
      <c r="I29" s="1" t="s">
        <v>74</v>
      </c>
      <c r="J29" s="1" t="s">
        <v>33</v>
      </c>
      <c r="K29" s="8">
        <v>6500</v>
      </c>
      <c r="L29" s="72">
        <f>YEAR(Q_Transacciones_ETL[[#This Row],[Fecha]])</f>
        <v>2026</v>
      </c>
      <c r="M29" s="98">
        <f>Q_Transacciones_ETL[[#This Row],[Total]]*35%</f>
        <v>4550</v>
      </c>
      <c r="N29" s="74">
        <f t="shared" si="0"/>
        <v>1</v>
      </c>
    </row>
    <row r="30" spans="1:14" x14ac:dyDescent="0.3">
      <c r="A30" s="1">
        <v>29</v>
      </c>
      <c r="B30" s="48">
        <v>46029</v>
      </c>
      <c r="C30" s="1" t="s">
        <v>59</v>
      </c>
      <c r="D30" s="1" t="s">
        <v>63</v>
      </c>
      <c r="E30" s="1">
        <v>2</v>
      </c>
      <c r="F30" s="8">
        <v>22000</v>
      </c>
      <c r="G30" s="1" t="s">
        <v>47</v>
      </c>
      <c r="H30" s="1" t="s">
        <v>48</v>
      </c>
      <c r="I30" s="1" t="s">
        <v>30</v>
      </c>
      <c r="J30" s="1" t="s">
        <v>31</v>
      </c>
      <c r="K30" s="8">
        <v>11000</v>
      </c>
      <c r="L30" s="72">
        <f>YEAR(Q_Transacciones_ETL[[#This Row],[Fecha]])</f>
        <v>2026</v>
      </c>
      <c r="M30" s="98">
        <f>Q_Transacciones_ETL[[#This Row],[Total]]*35%</f>
        <v>7699.9999999999991</v>
      </c>
      <c r="N30" s="74">
        <f t="shared" si="0"/>
        <v>1</v>
      </c>
    </row>
    <row r="31" spans="1:14" x14ac:dyDescent="0.3">
      <c r="A31" s="1">
        <v>30</v>
      </c>
      <c r="B31" s="48">
        <v>46032</v>
      </c>
      <c r="C31" s="1" t="s">
        <v>54</v>
      </c>
      <c r="D31" s="1" t="s">
        <v>64</v>
      </c>
      <c r="E31" s="1">
        <v>1</v>
      </c>
      <c r="F31" s="8">
        <v>6500</v>
      </c>
      <c r="G31" s="1" t="s">
        <v>22</v>
      </c>
      <c r="H31" s="1" t="s">
        <v>23</v>
      </c>
      <c r="I31" s="1" t="s">
        <v>74</v>
      </c>
      <c r="J31" s="1" t="s">
        <v>33</v>
      </c>
      <c r="K31" s="8">
        <v>6500</v>
      </c>
      <c r="L31" s="72">
        <f>YEAR(Q_Transacciones_ETL[[#This Row],[Fecha]])</f>
        <v>2026</v>
      </c>
      <c r="M31" s="98">
        <f>Q_Transacciones_ETL[[#This Row],[Total]]*35%</f>
        <v>2275</v>
      </c>
      <c r="N31" s="74">
        <f t="shared" si="0"/>
        <v>1</v>
      </c>
    </row>
    <row r="32" spans="1:14" x14ac:dyDescent="0.3">
      <c r="A32" s="1">
        <v>31</v>
      </c>
      <c r="B32" s="48">
        <v>46061</v>
      </c>
      <c r="C32" s="1" t="s">
        <v>51</v>
      </c>
      <c r="D32" s="1" t="s">
        <v>66</v>
      </c>
      <c r="E32" s="1">
        <v>1</v>
      </c>
      <c r="F32" s="8">
        <v>9500</v>
      </c>
      <c r="G32" s="1" t="s">
        <v>9</v>
      </c>
      <c r="H32" s="1" t="s">
        <v>10</v>
      </c>
      <c r="I32" s="1" t="s">
        <v>76</v>
      </c>
      <c r="J32" s="1" t="s">
        <v>43</v>
      </c>
      <c r="K32" s="8">
        <v>9500</v>
      </c>
      <c r="L32" s="72">
        <f>YEAR(Q_Transacciones_ETL[[#This Row],[Fecha]])</f>
        <v>2026</v>
      </c>
      <c r="M32" s="98">
        <f>Q_Transacciones_ETL[[#This Row],[Total]]*35%</f>
        <v>3325</v>
      </c>
      <c r="N32" s="74">
        <f t="shared" si="0"/>
        <v>1</v>
      </c>
    </row>
    <row r="33" spans="1:14" x14ac:dyDescent="0.3">
      <c r="A33" s="1">
        <v>32</v>
      </c>
      <c r="B33" s="48">
        <v>46068</v>
      </c>
      <c r="C33" s="1" t="s">
        <v>52</v>
      </c>
      <c r="D33" s="1" t="s">
        <v>65</v>
      </c>
      <c r="E33" s="1">
        <v>3</v>
      </c>
      <c r="F33" s="8">
        <v>84000</v>
      </c>
      <c r="G33" s="1" t="s">
        <v>14</v>
      </c>
      <c r="H33" s="1" t="s">
        <v>15</v>
      </c>
      <c r="I33" s="1" t="s">
        <v>37</v>
      </c>
      <c r="J33" s="1" t="s">
        <v>38</v>
      </c>
      <c r="K33" s="8">
        <v>28000</v>
      </c>
      <c r="L33" s="72">
        <f>YEAR(Q_Transacciones_ETL[[#This Row],[Fecha]])</f>
        <v>2026</v>
      </c>
      <c r="M33" s="98">
        <f>Q_Transacciones_ETL[[#This Row],[Total]]*35%</f>
        <v>29399.999999999996</v>
      </c>
      <c r="N33" s="74">
        <f t="shared" si="0"/>
        <v>1</v>
      </c>
    </row>
    <row r="34" spans="1:14" x14ac:dyDescent="0.3">
      <c r="A34" s="1">
        <v>33</v>
      </c>
      <c r="B34" s="48">
        <v>46071</v>
      </c>
      <c r="C34" s="1" t="s">
        <v>53</v>
      </c>
      <c r="D34" s="1" t="s">
        <v>60</v>
      </c>
      <c r="E34" s="1">
        <v>1</v>
      </c>
      <c r="F34" s="8">
        <v>120000</v>
      </c>
      <c r="G34" s="1" t="s">
        <v>19</v>
      </c>
      <c r="H34" s="1" t="s">
        <v>20</v>
      </c>
      <c r="I34" s="1" t="s">
        <v>12</v>
      </c>
      <c r="J34" s="1" t="s">
        <v>13</v>
      </c>
      <c r="K34" s="8">
        <v>120000</v>
      </c>
      <c r="L34" s="72">
        <f>YEAR(Q_Transacciones_ETL[[#This Row],[Fecha]])</f>
        <v>2026</v>
      </c>
      <c r="M34" s="98">
        <f>Q_Transacciones_ETL[[#This Row],[Total]]*35%</f>
        <v>42000</v>
      </c>
      <c r="N34" s="74">
        <f t="shared" si="0"/>
        <v>1</v>
      </c>
    </row>
    <row r="35" spans="1:14" x14ac:dyDescent="0.3">
      <c r="A35" s="1">
        <v>34</v>
      </c>
      <c r="B35" s="48">
        <v>46073</v>
      </c>
      <c r="C35" s="1" t="s">
        <v>54</v>
      </c>
      <c r="D35" s="1" t="s">
        <v>61</v>
      </c>
      <c r="E35" s="1">
        <v>4</v>
      </c>
      <c r="F35" s="8">
        <v>10000</v>
      </c>
      <c r="G35" s="1" t="s">
        <v>22</v>
      </c>
      <c r="H35" s="1" t="s">
        <v>23</v>
      </c>
      <c r="I35" s="1" t="s">
        <v>17</v>
      </c>
      <c r="J35" s="1" t="s">
        <v>18</v>
      </c>
      <c r="K35" s="8">
        <v>2500</v>
      </c>
      <c r="L35" s="72">
        <f>YEAR(Q_Transacciones_ETL[[#This Row],[Fecha]])</f>
        <v>2026</v>
      </c>
      <c r="M35" s="98">
        <f>Q_Transacciones_ETL[[#This Row],[Total]]*35%</f>
        <v>3500</v>
      </c>
      <c r="N35" s="74">
        <f t="shared" si="0"/>
        <v>1</v>
      </c>
    </row>
    <row r="36" spans="1:14" x14ac:dyDescent="0.3">
      <c r="A36" s="1">
        <v>35</v>
      </c>
      <c r="B36" s="48">
        <v>46099</v>
      </c>
      <c r="C36" s="1" t="s">
        <v>55</v>
      </c>
      <c r="D36" s="1" t="s">
        <v>62</v>
      </c>
      <c r="E36" s="1">
        <v>1</v>
      </c>
      <c r="F36" s="8">
        <v>45000</v>
      </c>
      <c r="G36" s="1" t="s">
        <v>27</v>
      </c>
      <c r="H36" s="1" t="s">
        <v>28</v>
      </c>
      <c r="I36" s="1" t="s">
        <v>25</v>
      </c>
      <c r="J36" s="1" t="s">
        <v>26</v>
      </c>
      <c r="K36" s="8">
        <v>45000</v>
      </c>
      <c r="L36" s="72">
        <f>YEAR(Q_Transacciones_ETL[[#This Row],[Fecha]])</f>
        <v>2026</v>
      </c>
      <c r="M36" s="98">
        <f>Q_Transacciones_ETL[[#This Row],[Total]]*35%</f>
        <v>15749.999999999998</v>
      </c>
      <c r="N36" s="74">
        <f t="shared" si="0"/>
        <v>1</v>
      </c>
    </row>
    <row r="37" spans="1:14" x14ac:dyDescent="0.3">
      <c r="A37" s="1">
        <v>36</v>
      </c>
      <c r="B37" s="48">
        <v>46100</v>
      </c>
      <c r="C37" s="1" t="s">
        <v>56</v>
      </c>
      <c r="D37" s="1" t="s">
        <v>64</v>
      </c>
      <c r="E37" s="1">
        <v>1</v>
      </c>
      <c r="F37" s="8">
        <v>6500</v>
      </c>
      <c r="G37" s="1" t="s">
        <v>34</v>
      </c>
      <c r="H37" s="1" t="s">
        <v>75</v>
      </c>
      <c r="I37" s="1" t="s">
        <v>74</v>
      </c>
      <c r="J37" s="1" t="s">
        <v>33</v>
      </c>
      <c r="K37" s="8">
        <v>6500</v>
      </c>
      <c r="L37" s="72">
        <f>YEAR(Q_Transacciones_ETL[[#This Row],[Fecha]])</f>
        <v>2026</v>
      </c>
      <c r="M37" s="98">
        <f>Q_Transacciones_ETL[[#This Row],[Total]]*35%</f>
        <v>2275</v>
      </c>
      <c r="N37" s="74">
        <f t="shared" si="0"/>
        <v>1</v>
      </c>
    </row>
    <row r="38" spans="1:14" x14ac:dyDescent="0.3">
      <c r="A38" s="1">
        <v>37</v>
      </c>
      <c r="B38" s="48">
        <v>46101</v>
      </c>
      <c r="C38" s="1" t="s">
        <v>57</v>
      </c>
      <c r="D38" s="1" t="s">
        <v>63</v>
      </c>
      <c r="E38" s="1">
        <v>2</v>
      </c>
      <c r="F38" s="8">
        <v>22000</v>
      </c>
      <c r="G38" s="1" t="s">
        <v>39</v>
      </c>
      <c r="H38" s="1" t="s">
        <v>40</v>
      </c>
      <c r="I38" s="1" t="s">
        <v>30</v>
      </c>
      <c r="J38" s="1" t="s">
        <v>31</v>
      </c>
      <c r="K38" s="8">
        <v>11000</v>
      </c>
      <c r="L38" s="72">
        <f>YEAR(Q_Transacciones_ETL[[#This Row],[Fecha]])</f>
        <v>2026</v>
      </c>
      <c r="M38" s="98">
        <f>Q_Transacciones_ETL[[#This Row],[Total]]*35%</f>
        <v>7699.9999999999991</v>
      </c>
      <c r="N38" s="74">
        <f t="shared" si="0"/>
        <v>1</v>
      </c>
    </row>
    <row r="39" spans="1:14" x14ac:dyDescent="0.3">
      <c r="A39" s="1">
        <v>38</v>
      </c>
      <c r="B39" s="48">
        <v>46102</v>
      </c>
      <c r="C39" s="1" t="s">
        <v>58</v>
      </c>
      <c r="D39" s="1" t="s">
        <v>63</v>
      </c>
      <c r="E39" s="1">
        <v>1</v>
      </c>
      <c r="F39" s="8">
        <v>11000</v>
      </c>
      <c r="G39" s="1" t="s">
        <v>44</v>
      </c>
      <c r="H39" s="1" t="s">
        <v>45</v>
      </c>
      <c r="I39" s="1" t="s">
        <v>30</v>
      </c>
      <c r="J39" s="1" t="s">
        <v>31</v>
      </c>
      <c r="K39" s="8">
        <v>11000</v>
      </c>
      <c r="L39" s="72">
        <f>YEAR(Q_Transacciones_ETL[[#This Row],[Fecha]])</f>
        <v>2026</v>
      </c>
      <c r="M39" s="98">
        <f>Q_Transacciones_ETL[[#This Row],[Total]]*35%</f>
        <v>3849.9999999999995</v>
      </c>
      <c r="N39" s="74">
        <f t="shared" si="0"/>
        <v>1</v>
      </c>
    </row>
    <row r="40" spans="1:14" x14ac:dyDescent="0.3">
      <c r="A40" s="1">
        <v>39</v>
      </c>
      <c r="B40" s="48">
        <v>46103</v>
      </c>
      <c r="C40" s="1" t="s">
        <v>59</v>
      </c>
      <c r="D40" s="1" t="s">
        <v>66</v>
      </c>
      <c r="E40" s="1">
        <v>1</v>
      </c>
      <c r="F40" s="8">
        <v>9500</v>
      </c>
      <c r="G40" s="1" t="s">
        <v>47</v>
      </c>
      <c r="H40" s="1" t="s">
        <v>48</v>
      </c>
      <c r="I40" s="1" t="s">
        <v>76</v>
      </c>
      <c r="J40" s="1" t="s">
        <v>43</v>
      </c>
      <c r="K40" s="8">
        <v>9500</v>
      </c>
      <c r="L40" s="72">
        <f>YEAR(Q_Transacciones_ETL[[#This Row],[Fecha]])</f>
        <v>2026</v>
      </c>
      <c r="M40" s="98">
        <f>Q_Transacciones_ETL[[#This Row],[Total]]*35%</f>
        <v>3325</v>
      </c>
      <c r="N40" s="74">
        <f t="shared" si="0"/>
        <v>1</v>
      </c>
    </row>
    <row r="41" spans="1:14" x14ac:dyDescent="0.3">
      <c r="A41" s="1">
        <v>40</v>
      </c>
      <c r="B41" s="48">
        <v>46104</v>
      </c>
      <c r="C41" s="1" t="s">
        <v>55</v>
      </c>
      <c r="D41" s="1" t="s">
        <v>61</v>
      </c>
      <c r="E41" s="1">
        <v>2</v>
      </c>
      <c r="F41" s="8">
        <v>5000</v>
      </c>
      <c r="G41" s="1" t="s">
        <v>27</v>
      </c>
      <c r="H41" s="1" t="s">
        <v>28</v>
      </c>
      <c r="I41" s="1" t="s">
        <v>17</v>
      </c>
      <c r="J41" s="1" t="s">
        <v>18</v>
      </c>
      <c r="K41" s="8">
        <v>2500</v>
      </c>
      <c r="L41" s="72">
        <f>YEAR(Q_Transacciones_ETL[[#This Row],[Fecha]])</f>
        <v>2026</v>
      </c>
      <c r="M41" s="98">
        <f>Q_Transacciones_ETL[[#This Row],[Total]]*35%</f>
        <v>1750</v>
      </c>
      <c r="N41" s="74">
        <f t="shared" si="0"/>
        <v>1</v>
      </c>
    </row>
    <row r="42" spans="1:14" x14ac:dyDescent="0.3">
      <c r="A42" s="1">
        <v>41</v>
      </c>
      <c r="B42" s="48">
        <v>46105</v>
      </c>
      <c r="C42" s="1" t="s">
        <v>51</v>
      </c>
      <c r="D42" s="1" t="s">
        <v>65</v>
      </c>
      <c r="E42" s="1">
        <v>1</v>
      </c>
      <c r="F42" s="8">
        <v>28000</v>
      </c>
      <c r="G42" s="1" t="s">
        <v>9</v>
      </c>
      <c r="H42" s="1" t="s">
        <v>10</v>
      </c>
      <c r="I42" s="1" t="s">
        <v>37</v>
      </c>
      <c r="J42" s="1" t="s">
        <v>38</v>
      </c>
      <c r="K42" s="8">
        <v>28000</v>
      </c>
      <c r="L42" s="72">
        <f>YEAR(Q_Transacciones_ETL[[#This Row],[Fecha]])</f>
        <v>2026</v>
      </c>
      <c r="M42" s="98">
        <f>Q_Transacciones_ETL[[#This Row],[Total]]*35%</f>
        <v>9800</v>
      </c>
      <c r="N42" s="74">
        <f t="shared" si="0"/>
        <v>1</v>
      </c>
    </row>
    <row r="43" spans="1:14" x14ac:dyDescent="0.3">
      <c r="A43" s="1">
        <v>42</v>
      </c>
      <c r="B43" s="48">
        <v>46114</v>
      </c>
      <c r="C43" s="1" t="s">
        <v>52</v>
      </c>
      <c r="D43" s="1" t="s">
        <v>60</v>
      </c>
      <c r="E43" s="1">
        <v>1</v>
      </c>
      <c r="F43" s="8">
        <v>120000</v>
      </c>
      <c r="G43" s="1" t="s">
        <v>14</v>
      </c>
      <c r="H43" s="1" t="s">
        <v>15</v>
      </c>
      <c r="I43" s="1" t="s">
        <v>12</v>
      </c>
      <c r="J43" s="1" t="s">
        <v>13</v>
      </c>
      <c r="K43" s="8">
        <v>120000</v>
      </c>
      <c r="L43" s="72">
        <f>YEAR(Q_Transacciones_ETL[[#This Row],[Fecha]])</f>
        <v>2026</v>
      </c>
      <c r="M43" s="98">
        <f>Q_Transacciones_ETL[[#This Row],[Total]]*35%</f>
        <v>42000</v>
      </c>
      <c r="N43" s="74">
        <f t="shared" si="0"/>
        <v>1</v>
      </c>
    </row>
    <row r="44" spans="1:14" x14ac:dyDescent="0.3">
      <c r="A44" s="1">
        <v>43</v>
      </c>
      <c r="B44" s="48">
        <v>46145</v>
      </c>
      <c r="C44" s="1" t="s">
        <v>53</v>
      </c>
      <c r="D44" s="1" t="s">
        <v>65</v>
      </c>
      <c r="E44" s="1">
        <v>5</v>
      </c>
      <c r="F44" s="8">
        <v>140000</v>
      </c>
      <c r="G44" s="1" t="s">
        <v>19</v>
      </c>
      <c r="H44" s="1" t="s">
        <v>20</v>
      </c>
      <c r="I44" s="1" t="s">
        <v>37</v>
      </c>
      <c r="J44" s="1" t="s">
        <v>38</v>
      </c>
      <c r="K44" s="8">
        <v>28000</v>
      </c>
      <c r="L44" s="72">
        <f>YEAR(Q_Transacciones_ETL[[#This Row],[Fecha]])</f>
        <v>2026</v>
      </c>
      <c r="M44" s="98">
        <f>Q_Transacciones_ETL[[#This Row],[Total]]*35%</f>
        <v>49000</v>
      </c>
      <c r="N44" s="74">
        <f t="shared" si="0"/>
        <v>1</v>
      </c>
    </row>
    <row r="45" spans="1:14" x14ac:dyDescent="0.3">
      <c r="A45" s="1">
        <v>44</v>
      </c>
      <c r="B45" s="48">
        <v>46152</v>
      </c>
      <c r="C45" s="1" t="s">
        <v>54</v>
      </c>
      <c r="D45" s="1" t="s">
        <v>64</v>
      </c>
      <c r="E45" s="1">
        <v>2</v>
      </c>
      <c r="F45" s="8">
        <v>13000</v>
      </c>
      <c r="G45" s="1" t="s">
        <v>22</v>
      </c>
      <c r="H45" s="1" t="s">
        <v>23</v>
      </c>
      <c r="I45" s="1" t="s">
        <v>74</v>
      </c>
      <c r="J45" s="1" t="s">
        <v>33</v>
      </c>
      <c r="K45" s="8">
        <v>6500</v>
      </c>
      <c r="L45" s="72">
        <f>YEAR(Q_Transacciones_ETL[[#This Row],[Fecha]])</f>
        <v>2026</v>
      </c>
      <c r="M45" s="98">
        <f>Q_Transacciones_ETL[[#This Row],[Total]]*35%</f>
        <v>4550</v>
      </c>
      <c r="N45" s="74">
        <f t="shared" si="0"/>
        <v>1</v>
      </c>
    </row>
    <row r="46" spans="1:14" x14ac:dyDescent="0.3">
      <c r="A46" s="1">
        <v>45</v>
      </c>
      <c r="B46" s="48">
        <v>46160</v>
      </c>
      <c r="C46" s="1" t="s">
        <v>55</v>
      </c>
      <c r="D46" s="1" t="s">
        <v>63</v>
      </c>
      <c r="E46" s="1">
        <v>1</v>
      </c>
      <c r="F46" s="8">
        <v>11000</v>
      </c>
      <c r="G46" s="1" t="s">
        <v>27</v>
      </c>
      <c r="H46" s="1" t="s">
        <v>28</v>
      </c>
      <c r="I46" s="1" t="s">
        <v>30</v>
      </c>
      <c r="J46" s="1" t="s">
        <v>31</v>
      </c>
      <c r="K46" s="8">
        <v>11000</v>
      </c>
      <c r="L46" s="72">
        <f>YEAR(Q_Transacciones_ETL[[#This Row],[Fecha]])</f>
        <v>2026</v>
      </c>
      <c r="M46" s="98">
        <f>Q_Transacciones_ETL[[#This Row],[Total]]*35%</f>
        <v>3849.9999999999995</v>
      </c>
      <c r="N46" s="74">
        <f t="shared" si="0"/>
        <v>1</v>
      </c>
    </row>
    <row r="47" spans="1:14" x14ac:dyDescent="0.3">
      <c r="A47" s="1">
        <v>46</v>
      </c>
      <c r="B47" s="48">
        <v>46165</v>
      </c>
      <c r="C47" s="1" t="s">
        <v>56</v>
      </c>
      <c r="D47" s="1" t="s">
        <v>62</v>
      </c>
      <c r="E47" s="1">
        <v>3</v>
      </c>
      <c r="F47" s="8">
        <v>135000</v>
      </c>
      <c r="G47" s="1" t="s">
        <v>34</v>
      </c>
      <c r="H47" s="1" t="s">
        <v>75</v>
      </c>
      <c r="I47" s="1" t="s">
        <v>25</v>
      </c>
      <c r="J47" s="1" t="s">
        <v>26</v>
      </c>
      <c r="K47" s="8">
        <v>45000</v>
      </c>
      <c r="L47" s="72">
        <f>YEAR(Q_Transacciones_ETL[[#This Row],[Fecha]])</f>
        <v>2026</v>
      </c>
      <c r="M47" s="98">
        <f>Q_Transacciones_ETL[[#This Row],[Total]]*35%</f>
        <v>47250</v>
      </c>
      <c r="N47" s="74">
        <f t="shared" si="0"/>
        <v>1</v>
      </c>
    </row>
    <row r="48" spans="1:14" x14ac:dyDescent="0.3">
      <c r="A48" s="1">
        <v>47</v>
      </c>
      <c r="B48" s="48">
        <v>46175</v>
      </c>
      <c r="C48" s="1" t="s">
        <v>57</v>
      </c>
      <c r="D48" s="1" t="s">
        <v>61</v>
      </c>
      <c r="E48" s="1">
        <v>1</v>
      </c>
      <c r="F48" s="8">
        <v>2500</v>
      </c>
      <c r="G48" s="1" t="s">
        <v>39</v>
      </c>
      <c r="H48" s="1" t="s">
        <v>40</v>
      </c>
      <c r="I48" s="1" t="s">
        <v>17</v>
      </c>
      <c r="J48" s="1" t="s">
        <v>18</v>
      </c>
      <c r="K48" s="8">
        <v>2500</v>
      </c>
      <c r="L48" s="72">
        <f>YEAR(Q_Transacciones_ETL[[#This Row],[Fecha]])</f>
        <v>2026</v>
      </c>
      <c r="M48" s="98">
        <f>Q_Transacciones_ETL[[#This Row],[Total]]*35%</f>
        <v>875</v>
      </c>
      <c r="N48" s="74">
        <f t="shared" si="0"/>
        <v>1</v>
      </c>
    </row>
    <row r="49" spans="1:14" x14ac:dyDescent="0.3">
      <c r="A49" s="1">
        <v>48</v>
      </c>
      <c r="B49" s="48">
        <v>46201</v>
      </c>
      <c r="C49" s="1" t="s">
        <v>58</v>
      </c>
      <c r="D49" s="1" t="s">
        <v>66</v>
      </c>
      <c r="E49" s="1">
        <v>1</v>
      </c>
      <c r="F49" s="8">
        <v>9500</v>
      </c>
      <c r="G49" s="1" t="s">
        <v>44</v>
      </c>
      <c r="H49" s="1" t="s">
        <v>45</v>
      </c>
      <c r="I49" s="1" t="s">
        <v>76</v>
      </c>
      <c r="J49" s="1" t="s">
        <v>43</v>
      </c>
      <c r="K49" s="8">
        <v>9500</v>
      </c>
      <c r="L49" s="72">
        <f>YEAR(Q_Transacciones_ETL[[#This Row],[Fecha]])</f>
        <v>2026</v>
      </c>
      <c r="M49" s="98">
        <f>Q_Transacciones_ETL[[#This Row],[Total]]*35%</f>
        <v>3325</v>
      </c>
      <c r="N49" s="74">
        <f t="shared" si="0"/>
        <v>1</v>
      </c>
    </row>
    <row r="50" spans="1:14" x14ac:dyDescent="0.3">
      <c r="A50" s="1">
        <v>49</v>
      </c>
      <c r="B50" s="48">
        <v>46204</v>
      </c>
      <c r="C50" s="1" t="s">
        <v>59</v>
      </c>
      <c r="D50" s="1" t="s">
        <v>65</v>
      </c>
      <c r="E50" s="1">
        <v>2</v>
      </c>
      <c r="F50" s="8">
        <v>56000</v>
      </c>
      <c r="G50" s="1" t="s">
        <v>47</v>
      </c>
      <c r="H50" s="1" t="s">
        <v>48</v>
      </c>
      <c r="I50" s="1" t="s">
        <v>37</v>
      </c>
      <c r="J50" s="1" t="s">
        <v>38</v>
      </c>
      <c r="K50" s="8">
        <v>28000</v>
      </c>
      <c r="L50" s="72">
        <f>YEAR(Q_Transacciones_ETL[[#This Row],[Fecha]])</f>
        <v>2026</v>
      </c>
      <c r="M50" s="98">
        <f>Q_Transacciones_ETL[[#This Row],[Total]]*35%</f>
        <v>19600</v>
      </c>
      <c r="N50" s="74">
        <f t="shared" si="0"/>
        <v>1</v>
      </c>
    </row>
    <row r="51" spans="1:14" x14ac:dyDescent="0.3">
      <c r="A51" s="1">
        <v>50</v>
      </c>
      <c r="B51" s="48">
        <v>46240</v>
      </c>
      <c r="C51" s="1" t="s">
        <v>55</v>
      </c>
      <c r="D51" s="1" t="s">
        <v>60</v>
      </c>
      <c r="E51" s="1">
        <v>1</v>
      </c>
      <c r="F51" s="8">
        <v>120000</v>
      </c>
      <c r="G51" s="1" t="s">
        <v>27</v>
      </c>
      <c r="H51" s="1" t="s">
        <v>28</v>
      </c>
      <c r="I51" s="1" t="s">
        <v>12</v>
      </c>
      <c r="J51" s="1" t="s">
        <v>13</v>
      </c>
      <c r="K51" s="8">
        <v>120000</v>
      </c>
      <c r="L51" s="72">
        <f>YEAR(Q_Transacciones_ETL[[#This Row],[Fecha]])</f>
        <v>2026</v>
      </c>
      <c r="M51" s="98">
        <f>Q_Transacciones_ETL[[#This Row],[Total]]*35%</f>
        <v>42000</v>
      </c>
      <c r="N51" s="74">
        <f t="shared" si="0"/>
        <v>1</v>
      </c>
    </row>
    <row r="52" spans="1:14" x14ac:dyDescent="0.3">
      <c r="A52" s="1">
        <v>51</v>
      </c>
      <c r="B52" s="48">
        <v>46240</v>
      </c>
      <c r="C52" s="1" t="s">
        <v>54</v>
      </c>
      <c r="D52" s="1" t="s">
        <v>65</v>
      </c>
      <c r="E52" s="1">
        <v>10</v>
      </c>
      <c r="F52" s="8">
        <v>280000</v>
      </c>
      <c r="G52" s="1" t="s">
        <v>22</v>
      </c>
      <c r="H52" s="1" t="s">
        <v>23</v>
      </c>
      <c r="I52" s="1" t="s">
        <v>37</v>
      </c>
      <c r="J52" s="1" t="s">
        <v>38</v>
      </c>
      <c r="K52" s="8">
        <v>28000</v>
      </c>
      <c r="L52" s="72">
        <f>YEAR(Q_Transacciones_ETL[[#This Row],[Fecha]])</f>
        <v>2026</v>
      </c>
      <c r="M52" s="98">
        <f>Q_Transacciones_ETL[[#This Row],[Total]]*35%</f>
        <v>98000</v>
      </c>
      <c r="N52" s="74">
        <f t="shared" si="0"/>
        <v>1</v>
      </c>
    </row>
    <row r="53" spans="1:14" x14ac:dyDescent="0.3">
      <c r="A53" s="1">
        <v>52</v>
      </c>
      <c r="B53" s="48">
        <v>46240</v>
      </c>
      <c r="C53" s="1" t="s">
        <v>52</v>
      </c>
      <c r="D53" s="1" t="s">
        <v>63</v>
      </c>
      <c r="E53" s="1">
        <v>11</v>
      </c>
      <c r="F53" s="8">
        <v>121000</v>
      </c>
      <c r="G53" s="1" t="s">
        <v>14</v>
      </c>
      <c r="H53" s="1" t="s">
        <v>15</v>
      </c>
      <c r="I53" s="1" t="s">
        <v>30</v>
      </c>
      <c r="J53" s="1" t="s">
        <v>31</v>
      </c>
      <c r="K53" s="8">
        <v>11000</v>
      </c>
      <c r="L53" s="72">
        <f>YEAR(Q_Transacciones_ETL[[#This Row],[Fecha]])</f>
        <v>2026</v>
      </c>
      <c r="M53" s="98">
        <f>Q_Transacciones_ETL[[#This Row],[Total]]*35%</f>
        <v>42350</v>
      </c>
      <c r="N53" s="74">
        <f t="shared" si="0"/>
        <v>1</v>
      </c>
    </row>
    <row r="54" spans="1:14" x14ac:dyDescent="0.3">
      <c r="A54" s="1">
        <v>53</v>
      </c>
      <c r="B54" s="48">
        <v>46240</v>
      </c>
      <c r="C54" s="1" t="s">
        <v>56</v>
      </c>
      <c r="D54" s="1" t="s">
        <v>66</v>
      </c>
      <c r="E54" s="1">
        <v>2</v>
      </c>
      <c r="F54" s="8">
        <v>19000</v>
      </c>
      <c r="G54" s="1" t="s">
        <v>34</v>
      </c>
      <c r="H54" s="1" t="s">
        <v>75</v>
      </c>
      <c r="I54" s="1" t="s">
        <v>76</v>
      </c>
      <c r="J54" s="1" t="s">
        <v>43</v>
      </c>
      <c r="K54" s="8">
        <v>9500</v>
      </c>
      <c r="L54" s="72">
        <f>YEAR(Q_Transacciones_ETL[[#This Row],[Fecha]])</f>
        <v>2026</v>
      </c>
      <c r="M54" s="98">
        <f>Q_Transacciones_ETL[[#This Row],[Total]]*35%</f>
        <v>6650</v>
      </c>
      <c r="N54" s="74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0653-7EA0-49C5-B14B-422A74D6C989}">
  <dimension ref="A1:D10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2.21875" bestFit="1" customWidth="1"/>
    <col min="2" max="2" width="15.33203125" bestFit="1" customWidth="1"/>
    <col min="3" max="3" width="11.44140625" bestFit="1" customWidth="1"/>
    <col min="4" max="4" width="25.5546875" bestFit="1" customWidth="1"/>
  </cols>
  <sheetData>
    <row r="1" spans="1:4" x14ac:dyDescent="0.3">
      <c r="A1" s="1" t="s">
        <v>50</v>
      </c>
      <c r="B1" s="1" t="s">
        <v>2</v>
      </c>
      <c r="C1" s="1" t="s">
        <v>68</v>
      </c>
      <c r="D1" s="1" t="s">
        <v>69</v>
      </c>
    </row>
    <row r="2" spans="1:4" x14ac:dyDescent="0.3">
      <c r="A2" s="1" t="s">
        <v>51</v>
      </c>
      <c r="B2" s="1" t="s">
        <v>9</v>
      </c>
      <c r="C2" s="1" t="s">
        <v>10</v>
      </c>
      <c r="D2" s="1" t="s">
        <v>11</v>
      </c>
    </row>
    <row r="3" spans="1:4" x14ac:dyDescent="0.3">
      <c r="A3" s="1" t="s">
        <v>52</v>
      </c>
      <c r="B3" s="1" t="s">
        <v>14</v>
      </c>
      <c r="C3" s="1" t="s">
        <v>15</v>
      </c>
      <c r="D3" s="1" t="s">
        <v>16</v>
      </c>
    </row>
    <row r="4" spans="1:4" x14ac:dyDescent="0.3">
      <c r="A4" s="1" t="s">
        <v>53</v>
      </c>
      <c r="B4" s="1" t="s">
        <v>19</v>
      </c>
      <c r="C4" s="1" t="s">
        <v>20</v>
      </c>
      <c r="D4" s="1" t="s">
        <v>21</v>
      </c>
    </row>
    <row r="5" spans="1:4" x14ac:dyDescent="0.3">
      <c r="A5" s="1" t="s">
        <v>54</v>
      </c>
      <c r="B5" s="1" t="s">
        <v>22</v>
      </c>
      <c r="C5" s="1" t="s">
        <v>23</v>
      </c>
      <c r="D5" s="1" t="s">
        <v>24</v>
      </c>
    </row>
    <row r="6" spans="1:4" x14ac:dyDescent="0.3">
      <c r="A6" s="1" t="s">
        <v>55</v>
      </c>
      <c r="B6" s="1" t="s">
        <v>27</v>
      </c>
      <c r="C6" s="1" t="s">
        <v>28</v>
      </c>
      <c r="D6" s="1" t="s">
        <v>29</v>
      </c>
    </row>
    <row r="7" spans="1:4" x14ac:dyDescent="0.3">
      <c r="A7" s="1" t="s">
        <v>56</v>
      </c>
      <c r="B7" s="1" t="s">
        <v>34</v>
      </c>
      <c r="C7" s="1" t="s">
        <v>35</v>
      </c>
      <c r="D7" s="1" t="s">
        <v>36</v>
      </c>
    </row>
    <row r="8" spans="1:4" x14ac:dyDescent="0.3">
      <c r="A8" s="1" t="s">
        <v>57</v>
      </c>
      <c r="B8" s="1" t="s">
        <v>39</v>
      </c>
      <c r="C8" s="1" t="s">
        <v>40</v>
      </c>
      <c r="D8" s="1" t="s">
        <v>41</v>
      </c>
    </row>
    <row r="9" spans="1:4" x14ac:dyDescent="0.3">
      <c r="A9" s="1" t="s">
        <v>58</v>
      </c>
      <c r="B9" s="1" t="s">
        <v>44</v>
      </c>
      <c r="C9" s="1" t="s">
        <v>45</v>
      </c>
      <c r="D9" s="1" t="s">
        <v>46</v>
      </c>
    </row>
    <row r="10" spans="1:4" x14ac:dyDescent="0.3">
      <c r="A10" s="1" t="s">
        <v>59</v>
      </c>
      <c r="B10" s="1" t="s">
        <v>47</v>
      </c>
      <c r="C10" s="1" t="s">
        <v>48</v>
      </c>
      <c r="D10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B5B5-BE1B-44D0-B83E-CD8775978752}">
  <dimension ref="A1:D8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3.88671875" bestFit="1" customWidth="1"/>
    <col min="2" max="2" width="20.5546875" bestFit="1" customWidth="1"/>
    <col min="3" max="3" width="14.88671875" bestFit="1" customWidth="1"/>
    <col min="4" max="4" width="16.5546875" bestFit="1" customWidth="1"/>
  </cols>
  <sheetData>
    <row r="1" spans="1:4" x14ac:dyDescent="0.3">
      <c r="A1" s="1" t="s">
        <v>67</v>
      </c>
      <c r="B1" s="1" t="s">
        <v>4</v>
      </c>
      <c r="C1" s="1" t="s">
        <v>70</v>
      </c>
      <c r="D1" s="1" t="s">
        <v>6</v>
      </c>
    </row>
    <row r="2" spans="1:4" x14ac:dyDescent="0.3">
      <c r="A2" s="1" t="s">
        <v>60</v>
      </c>
      <c r="B2" s="1" t="s">
        <v>12</v>
      </c>
      <c r="C2" s="1" t="s">
        <v>13</v>
      </c>
      <c r="D2" s="8">
        <v>120000</v>
      </c>
    </row>
    <row r="3" spans="1:4" x14ac:dyDescent="0.3">
      <c r="A3" s="1" t="s">
        <v>61</v>
      </c>
      <c r="B3" s="1" t="s">
        <v>17</v>
      </c>
      <c r="C3" s="1" t="s">
        <v>18</v>
      </c>
      <c r="D3" s="8">
        <v>2500</v>
      </c>
    </row>
    <row r="4" spans="1:4" x14ac:dyDescent="0.3">
      <c r="A4" s="1" t="s">
        <v>62</v>
      </c>
      <c r="B4" s="1" t="s">
        <v>25</v>
      </c>
      <c r="C4" s="1" t="s">
        <v>26</v>
      </c>
      <c r="D4" s="8">
        <v>45000</v>
      </c>
    </row>
    <row r="5" spans="1:4" x14ac:dyDescent="0.3">
      <c r="A5" s="1" t="s">
        <v>63</v>
      </c>
      <c r="B5" s="1" t="s">
        <v>30</v>
      </c>
      <c r="C5" s="1" t="s">
        <v>31</v>
      </c>
      <c r="D5" s="8">
        <v>11000</v>
      </c>
    </row>
    <row r="6" spans="1:4" x14ac:dyDescent="0.3">
      <c r="A6" s="1" t="s">
        <v>64</v>
      </c>
      <c r="B6" s="1" t="s">
        <v>32</v>
      </c>
      <c r="C6" s="1" t="s">
        <v>33</v>
      </c>
      <c r="D6" s="8">
        <v>6500</v>
      </c>
    </row>
    <row r="7" spans="1:4" x14ac:dyDescent="0.3">
      <c r="A7" s="1" t="s">
        <v>65</v>
      </c>
      <c r="B7" s="1" t="s">
        <v>37</v>
      </c>
      <c r="C7" s="1" t="s">
        <v>38</v>
      </c>
      <c r="D7" s="8">
        <v>28000</v>
      </c>
    </row>
    <row r="8" spans="1:4" x14ac:dyDescent="0.3">
      <c r="A8" s="1" t="s">
        <v>66</v>
      </c>
      <c r="B8" s="1" t="s">
        <v>42</v>
      </c>
      <c r="C8" s="1" t="s">
        <v>43</v>
      </c>
      <c r="D8" s="8">
        <v>9500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C2D9-BA10-4736-9AE8-277654A4DACC}">
  <dimension ref="A1:G890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10" defaultRowHeight="14.4" x14ac:dyDescent="0.3"/>
  <cols>
    <col min="1" max="1" width="10.33203125" bestFit="1" customWidth="1"/>
    <col min="2" max="2" width="6.6640625" bestFit="1" customWidth="1"/>
    <col min="3" max="3" width="11.77734375" bestFit="1" customWidth="1"/>
    <col min="4" max="4" width="10.44140625" bestFit="1" customWidth="1"/>
    <col min="5" max="5" width="11.44140625" bestFit="1" customWidth="1"/>
    <col min="6" max="6" width="13.88671875" bestFit="1" customWidth="1"/>
    <col min="7" max="7" width="12.77734375" bestFit="1" customWidth="1"/>
  </cols>
  <sheetData>
    <row r="1" spans="1:7" x14ac:dyDescent="0.3">
      <c r="A1" s="1" t="s">
        <v>1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129</v>
      </c>
      <c r="G1" s="1" t="s">
        <v>81</v>
      </c>
    </row>
    <row r="2" spans="1:7" x14ac:dyDescent="0.3">
      <c r="A2" s="48">
        <v>45352</v>
      </c>
      <c r="B2" s="1">
        <v>2024</v>
      </c>
      <c r="C2" s="1">
        <v>3</v>
      </c>
      <c r="D2" s="1" t="s">
        <v>130</v>
      </c>
      <c r="E2" s="1">
        <v>1</v>
      </c>
      <c r="F2" s="1" t="s">
        <v>131</v>
      </c>
      <c r="G2" s="1" t="s">
        <v>83</v>
      </c>
    </row>
    <row r="3" spans="1:7" x14ac:dyDescent="0.3">
      <c r="A3" s="48">
        <v>45353</v>
      </c>
      <c r="B3" s="1">
        <v>2024</v>
      </c>
      <c r="C3" s="1">
        <v>3</v>
      </c>
      <c r="D3" s="1" t="s">
        <v>130</v>
      </c>
      <c r="E3" s="1">
        <v>1</v>
      </c>
      <c r="F3" s="1" t="s">
        <v>132</v>
      </c>
      <c r="G3" s="1" t="s">
        <v>133</v>
      </c>
    </row>
    <row r="4" spans="1:7" x14ac:dyDescent="0.3">
      <c r="A4" s="48">
        <v>45354</v>
      </c>
      <c r="B4" s="1">
        <v>2024</v>
      </c>
      <c r="C4" s="1">
        <v>3</v>
      </c>
      <c r="D4" s="1" t="s">
        <v>130</v>
      </c>
      <c r="E4" s="1">
        <v>1</v>
      </c>
      <c r="F4" s="1" t="s">
        <v>134</v>
      </c>
      <c r="G4" s="1" t="s">
        <v>133</v>
      </c>
    </row>
    <row r="5" spans="1:7" x14ac:dyDescent="0.3">
      <c r="A5" s="48">
        <v>45355</v>
      </c>
      <c r="B5" s="1">
        <v>2024</v>
      </c>
      <c r="C5" s="1">
        <v>3</v>
      </c>
      <c r="D5" s="1" t="s">
        <v>130</v>
      </c>
      <c r="E5" s="1">
        <v>1</v>
      </c>
      <c r="F5" s="1" t="s">
        <v>135</v>
      </c>
      <c r="G5" s="1" t="s">
        <v>83</v>
      </c>
    </row>
    <row r="6" spans="1:7" x14ac:dyDescent="0.3">
      <c r="A6" s="48">
        <v>45356</v>
      </c>
      <c r="B6" s="1">
        <v>2024</v>
      </c>
      <c r="C6" s="1">
        <v>3</v>
      </c>
      <c r="D6" s="1" t="s">
        <v>130</v>
      </c>
      <c r="E6" s="1">
        <v>1</v>
      </c>
      <c r="F6" s="1" t="s">
        <v>136</v>
      </c>
      <c r="G6" s="1" t="s">
        <v>83</v>
      </c>
    </row>
    <row r="7" spans="1:7" x14ac:dyDescent="0.3">
      <c r="A7" s="48">
        <v>45357</v>
      </c>
      <c r="B7" s="1">
        <v>2024</v>
      </c>
      <c r="C7" s="1">
        <v>3</v>
      </c>
      <c r="D7" s="1" t="s">
        <v>130</v>
      </c>
      <c r="E7" s="1">
        <v>1</v>
      </c>
      <c r="F7" s="1" t="s">
        <v>137</v>
      </c>
      <c r="G7" s="1" t="s">
        <v>83</v>
      </c>
    </row>
    <row r="8" spans="1:7" x14ac:dyDescent="0.3">
      <c r="A8" s="48">
        <v>45358</v>
      </c>
      <c r="B8" s="1">
        <v>2024</v>
      </c>
      <c r="C8" s="1">
        <v>3</v>
      </c>
      <c r="D8" s="1" t="s">
        <v>130</v>
      </c>
      <c r="E8" s="1">
        <v>1</v>
      </c>
      <c r="F8" s="1" t="s">
        <v>138</v>
      </c>
      <c r="G8" s="1" t="s">
        <v>83</v>
      </c>
    </row>
    <row r="9" spans="1:7" x14ac:dyDescent="0.3">
      <c r="A9" s="48">
        <v>45359</v>
      </c>
      <c r="B9" s="1">
        <v>2024</v>
      </c>
      <c r="C9" s="1">
        <v>3</v>
      </c>
      <c r="D9" s="1" t="s">
        <v>130</v>
      </c>
      <c r="E9" s="1">
        <v>1</v>
      </c>
      <c r="F9" s="1" t="s">
        <v>131</v>
      </c>
      <c r="G9" s="1" t="s">
        <v>83</v>
      </c>
    </row>
    <row r="10" spans="1:7" x14ac:dyDescent="0.3">
      <c r="A10" s="48">
        <v>45360</v>
      </c>
      <c r="B10" s="1">
        <v>2024</v>
      </c>
      <c r="C10" s="1">
        <v>3</v>
      </c>
      <c r="D10" s="1" t="s">
        <v>130</v>
      </c>
      <c r="E10" s="1">
        <v>1</v>
      </c>
      <c r="F10" s="1" t="s">
        <v>132</v>
      </c>
      <c r="G10" s="1" t="s">
        <v>133</v>
      </c>
    </row>
    <row r="11" spans="1:7" x14ac:dyDescent="0.3">
      <c r="A11" s="48">
        <v>45361</v>
      </c>
      <c r="B11" s="1">
        <v>2024</v>
      </c>
      <c r="C11" s="1">
        <v>3</v>
      </c>
      <c r="D11" s="1" t="s">
        <v>130</v>
      </c>
      <c r="E11" s="1">
        <v>1</v>
      </c>
      <c r="F11" s="1" t="s">
        <v>134</v>
      </c>
      <c r="G11" s="1" t="s">
        <v>133</v>
      </c>
    </row>
    <row r="12" spans="1:7" x14ac:dyDescent="0.3">
      <c r="A12" s="48">
        <v>45362</v>
      </c>
      <c r="B12" s="1">
        <v>2024</v>
      </c>
      <c r="C12" s="1">
        <v>3</v>
      </c>
      <c r="D12" s="1" t="s">
        <v>130</v>
      </c>
      <c r="E12" s="1">
        <v>1</v>
      </c>
      <c r="F12" s="1" t="s">
        <v>135</v>
      </c>
      <c r="G12" s="1" t="s">
        <v>83</v>
      </c>
    </row>
    <row r="13" spans="1:7" x14ac:dyDescent="0.3">
      <c r="A13" s="48">
        <v>45363</v>
      </c>
      <c r="B13" s="1">
        <v>2024</v>
      </c>
      <c r="C13" s="1">
        <v>3</v>
      </c>
      <c r="D13" s="1" t="s">
        <v>130</v>
      </c>
      <c r="E13" s="1">
        <v>1</v>
      </c>
      <c r="F13" s="1" t="s">
        <v>136</v>
      </c>
      <c r="G13" s="1" t="s">
        <v>83</v>
      </c>
    </row>
    <row r="14" spans="1:7" x14ac:dyDescent="0.3">
      <c r="A14" s="48">
        <v>45364</v>
      </c>
      <c r="B14" s="1">
        <v>2024</v>
      </c>
      <c r="C14" s="1">
        <v>3</v>
      </c>
      <c r="D14" s="1" t="s">
        <v>130</v>
      </c>
      <c r="E14" s="1">
        <v>1</v>
      </c>
      <c r="F14" s="1" t="s">
        <v>137</v>
      </c>
      <c r="G14" s="1" t="s">
        <v>83</v>
      </c>
    </row>
    <row r="15" spans="1:7" x14ac:dyDescent="0.3">
      <c r="A15" s="48">
        <v>45365</v>
      </c>
      <c r="B15" s="1">
        <v>2024</v>
      </c>
      <c r="C15" s="1">
        <v>3</v>
      </c>
      <c r="D15" s="1" t="s">
        <v>130</v>
      </c>
      <c r="E15" s="1">
        <v>1</v>
      </c>
      <c r="F15" s="1" t="s">
        <v>138</v>
      </c>
      <c r="G15" s="1" t="s">
        <v>83</v>
      </c>
    </row>
    <row r="16" spans="1:7" x14ac:dyDescent="0.3">
      <c r="A16" s="48">
        <v>45366</v>
      </c>
      <c r="B16" s="1">
        <v>2024</v>
      </c>
      <c r="C16" s="1">
        <v>3</v>
      </c>
      <c r="D16" s="1" t="s">
        <v>130</v>
      </c>
      <c r="E16" s="1">
        <v>1</v>
      </c>
      <c r="F16" s="1" t="s">
        <v>131</v>
      </c>
      <c r="G16" s="1" t="s">
        <v>83</v>
      </c>
    </row>
    <row r="17" spans="1:7" x14ac:dyDescent="0.3">
      <c r="A17" s="48">
        <v>45367</v>
      </c>
      <c r="B17" s="1">
        <v>2024</v>
      </c>
      <c r="C17" s="1">
        <v>3</v>
      </c>
      <c r="D17" s="1" t="s">
        <v>130</v>
      </c>
      <c r="E17" s="1">
        <v>1</v>
      </c>
      <c r="F17" s="1" t="s">
        <v>132</v>
      </c>
      <c r="G17" s="1" t="s">
        <v>133</v>
      </c>
    </row>
    <row r="18" spans="1:7" x14ac:dyDescent="0.3">
      <c r="A18" s="48">
        <v>45368</v>
      </c>
      <c r="B18" s="1">
        <v>2024</v>
      </c>
      <c r="C18" s="1">
        <v>3</v>
      </c>
      <c r="D18" s="1" t="s">
        <v>130</v>
      </c>
      <c r="E18" s="1">
        <v>1</v>
      </c>
      <c r="F18" s="1" t="s">
        <v>134</v>
      </c>
      <c r="G18" s="1" t="s">
        <v>133</v>
      </c>
    </row>
    <row r="19" spans="1:7" x14ac:dyDescent="0.3">
      <c r="A19" s="48">
        <v>45369</v>
      </c>
      <c r="B19" s="1">
        <v>2024</v>
      </c>
      <c r="C19" s="1">
        <v>3</v>
      </c>
      <c r="D19" s="1" t="s">
        <v>130</v>
      </c>
      <c r="E19" s="1">
        <v>1</v>
      </c>
      <c r="F19" s="1" t="s">
        <v>135</v>
      </c>
      <c r="G19" s="1" t="s">
        <v>83</v>
      </c>
    </row>
    <row r="20" spans="1:7" x14ac:dyDescent="0.3">
      <c r="A20" s="48">
        <v>45370</v>
      </c>
      <c r="B20" s="1">
        <v>2024</v>
      </c>
      <c r="C20" s="1">
        <v>3</v>
      </c>
      <c r="D20" s="1" t="s">
        <v>130</v>
      </c>
      <c r="E20" s="1">
        <v>1</v>
      </c>
      <c r="F20" s="1" t="s">
        <v>136</v>
      </c>
      <c r="G20" s="1" t="s">
        <v>83</v>
      </c>
    </row>
    <row r="21" spans="1:7" x14ac:dyDescent="0.3">
      <c r="A21" s="48">
        <v>45371</v>
      </c>
      <c r="B21" s="1">
        <v>2024</v>
      </c>
      <c r="C21" s="1">
        <v>3</v>
      </c>
      <c r="D21" s="1" t="s">
        <v>130</v>
      </c>
      <c r="E21" s="1">
        <v>1</v>
      </c>
      <c r="F21" s="1" t="s">
        <v>137</v>
      </c>
      <c r="G21" s="1" t="s">
        <v>83</v>
      </c>
    </row>
    <row r="22" spans="1:7" x14ac:dyDescent="0.3">
      <c r="A22" s="48">
        <v>45372</v>
      </c>
      <c r="B22" s="1">
        <v>2024</v>
      </c>
      <c r="C22" s="1">
        <v>3</v>
      </c>
      <c r="D22" s="1" t="s">
        <v>130</v>
      </c>
      <c r="E22" s="1">
        <v>1</v>
      </c>
      <c r="F22" s="1" t="s">
        <v>138</v>
      </c>
      <c r="G22" s="1" t="s">
        <v>83</v>
      </c>
    </row>
    <row r="23" spans="1:7" x14ac:dyDescent="0.3">
      <c r="A23" s="48">
        <v>45373</v>
      </c>
      <c r="B23" s="1">
        <v>2024</v>
      </c>
      <c r="C23" s="1">
        <v>3</v>
      </c>
      <c r="D23" s="1" t="s">
        <v>130</v>
      </c>
      <c r="E23" s="1">
        <v>1</v>
      </c>
      <c r="F23" s="1" t="s">
        <v>131</v>
      </c>
      <c r="G23" s="1" t="s">
        <v>83</v>
      </c>
    </row>
    <row r="24" spans="1:7" x14ac:dyDescent="0.3">
      <c r="A24" s="48">
        <v>45374</v>
      </c>
      <c r="B24" s="1">
        <v>2024</v>
      </c>
      <c r="C24" s="1">
        <v>3</v>
      </c>
      <c r="D24" s="1" t="s">
        <v>130</v>
      </c>
      <c r="E24" s="1">
        <v>1</v>
      </c>
      <c r="F24" s="1" t="s">
        <v>132</v>
      </c>
      <c r="G24" s="1" t="s">
        <v>133</v>
      </c>
    </row>
    <row r="25" spans="1:7" x14ac:dyDescent="0.3">
      <c r="A25" s="48">
        <v>45375</v>
      </c>
      <c r="B25" s="1">
        <v>2024</v>
      </c>
      <c r="C25" s="1">
        <v>3</v>
      </c>
      <c r="D25" s="1" t="s">
        <v>130</v>
      </c>
      <c r="E25" s="1">
        <v>1</v>
      </c>
      <c r="F25" s="1" t="s">
        <v>134</v>
      </c>
      <c r="G25" s="1" t="s">
        <v>133</v>
      </c>
    </row>
    <row r="26" spans="1:7" x14ac:dyDescent="0.3">
      <c r="A26" s="48">
        <v>45376</v>
      </c>
      <c r="B26" s="1">
        <v>2024</v>
      </c>
      <c r="C26" s="1">
        <v>3</v>
      </c>
      <c r="D26" s="1" t="s">
        <v>130</v>
      </c>
      <c r="E26" s="1">
        <v>1</v>
      </c>
      <c r="F26" s="1" t="s">
        <v>135</v>
      </c>
      <c r="G26" s="1" t="s">
        <v>83</v>
      </c>
    </row>
    <row r="27" spans="1:7" x14ac:dyDescent="0.3">
      <c r="A27" s="48">
        <v>45377</v>
      </c>
      <c r="B27" s="1">
        <v>2024</v>
      </c>
      <c r="C27" s="1">
        <v>3</v>
      </c>
      <c r="D27" s="1" t="s">
        <v>130</v>
      </c>
      <c r="E27" s="1">
        <v>1</v>
      </c>
      <c r="F27" s="1" t="s">
        <v>136</v>
      </c>
      <c r="G27" s="1" t="s">
        <v>83</v>
      </c>
    </row>
    <row r="28" spans="1:7" x14ac:dyDescent="0.3">
      <c r="A28" s="48">
        <v>45378</v>
      </c>
      <c r="B28" s="1">
        <v>2024</v>
      </c>
      <c r="C28" s="1">
        <v>3</v>
      </c>
      <c r="D28" s="1" t="s">
        <v>130</v>
      </c>
      <c r="E28" s="1">
        <v>1</v>
      </c>
      <c r="F28" s="1" t="s">
        <v>137</v>
      </c>
      <c r="G28" s="1" t="s">
        <v>83</v>
      </c>
    </row>
    <row r="29" spans="1:7" x14ac:dyDescent="0.3">
      <c r="A29" s="48">
        <v>45379</v>
      </c>
      <c r="B29" s="1">
        <v>2024</v>
      </c>
      <c r="C29" s="1">
        <v>3</v>
      </c>
      <c r="D29" s="1" t="s">
        <v>130</v>
      </c>
      <c r="E29" s="1">
        <v>1</v>
      </c>
      <c r="F29" s="1" t="s">
        <v>138</v>
      </c>
      <c r="G29" s="1" t="s">
        <v>83</v>
      </c>
    </row>
    <row r="30" spans="1:7" x14ac:dyDescent="0.3">
      <c r="A30" s="48">
        <v>45380</v>
      </c>
      <c r="B30" s="1">
        <v>2024</v>
      </c>
      <c r="C30" s="1">
        <v>3</v>
      </c>
      <c r="D30" s="1" t="s">
        <v>130</v>
      </c>
      <c r="E30" s="1">
        <v>1</v>
      </c>
      <c r="F30" s="1" t="s">
        <v>131</v>
      </c>
      <c r="G30" s="1" t="s">
        <v>83</v>
      </c>
    </row>
    <row r="31" spans="1:7" x14ac:dyDescent="0.3">
      <c r="A31" s="48">
        <v>45381</v>
      </c>
      <c r="B31" s="1">
        <v>2024</v>
      </c>
      <c r="C31" s="1">
        <v>3</v>
      </c>
      <c r="D31" s="1" t="s">
        <v>130</v>
      </c>
      <c r="E31" s="1">
        <v>1</v>
      </c>
      <c r="F31" s="1" t="s">
        <v>132</v>
      </c>
      <c r="G31" s="1" t="s">
        <v>133</v>
      </c>
    </row>
    <row r="32" spans="1:7" x14ac:dyDescent="0.3">
      <c r="A32" s="48">
        <v>45382</v>
      </c>
      <c r="B32" s="1">
        <v>2024</v>
      </c>
      <c r="C32" s="1">
        <v>3</v>
      </c>
      <c r="D32" s="1" t="s">
        <v>130</v>
      </c>
      <c r="E32" s="1">
        <v>1</v>
      </c>
      <c r="F32" s="1" t="s">
        <v>134</v>
      </c>
      <c r="G32" s="1" t="s">
        <v>133</v>
      </c>
    </row>
    <row r="33" spans="1:7" x14ac:dyDescent="0.3">
      <c r="A33" s="48">
        <v>45383</v>
      </c>
      <c r="B33" s="1">
        <v>2024</v>
      </c>
      <c r="C33" s="1">
        <v>4</v>
      </c>
      <c r="D33" s="1" t="s">
        <v>139</v>
      </c>
      <c r="E33" s="1">
        <v>2</v>
      </c>
      <c r="F33" s="1" t="s">
        <v>135</v>
      </c>
      <c r="G33" s="1" t="s">
        <v>83</v>
      </c>
    </row>
    <row r="34" spans="1:7" x14ac:dyDescent="0.3">
      <c r="A34" s="48">
        <v>45384</v>
      </c>
      <c r="B34" s="1">
        <v>2024</v>
      </c>
      <c r="C34" s="1">
        <v>4</v>
      </c>
      <c r="D34" s="1" t="s">
        <v>139</v>
      </c>
      <c r="E34" s="1">
        <v>2</v>
      </c>
      <c r="F34" s="1" t="s">
        <v>136</v>
      </c>
      <c r="G34" s="1" t="s">
        <v>83</v>
      </c>
    </row>
    <row r="35" spans="1:7" x14ac:dyDescent="0.3">
      <c r="A35" s="48">
        <v>45385</v>
      </c>
      <c r="B35" s="1">
        <v>2024</v>
      </c>
      <c r="C35" s="1">
        <v>4</v>
      </c>
      <c r="D35" s="1" t="s">
        <v>139</v>
      </c>
      <c r="E35" s="1">
        <v>2</v>
      </c>
      <c r="F35" s="1" t="s">
        <v>137</v>
      </c>
      <c r="G35" s="1" t="s">
        <v>83</v>
      </c>
    </row>
    <row r="36" spans="1:7" x14ac:dyDescent="0.3">
      <c r="A36" s="48">
        <v>45386</v>
      </c>
      <c r="B36" s="1">
        <v>2024</v>
      </c>
      <c r="C36" s="1">
        <v>4</v>
      </c>
      <c r="D36" s="1" t="s">
        <v>139</v>
      </c>
      <c r="E36" s="1">
        <v>2</v>
      </c>
      <c r="F36" s="1" t="s">
        <v>138</v>
      </c>
      <c r="G36" s="1" t="s">
        <v>83</v>
      </c>
    </row>
    <row r="37" spans="1:7" x14ac:dyDescent="0.3">
      <c r="A37" s="48">
        <v>45387</v>
      </c>
      <c r="B37" s="1">
        <v>2024</v>
      </c>
      <c r="C37" s="1">
        <v>4</v>
      </c>
      <c r="D37" s="1" t="s">
        <v>139</v>
      </c>
      <c r="E37" s="1">
        <v>2</v>
      </c>
      <c r="F37" s="1" t="s">
        <v>131</v>
      </c>
      <c r="G37" s="1" t="s">
        <v>83</v>
      </c>
    </row>
    <row r="38" spans="1:7" x14ac:dyDescent="0.3">
      <c r="A38" s="48">
        <v>45388</v>
      </c>
      <c r="B38" s="1">
        <v>2024</v>
      </c>
      <c r="C38" s="1">
        <v>4</v>
      </c>
      <c r="D38" s="1" t="s">
        <v>139</v>
      </c>
      <c r="E38" s="1">
        <v>2</v>
      </c>
      <c r="F38" s="1" t="s">
        <v>132</v>
      </c>
      <c r="G38" s="1" t="s">
        <v>133</v>
      </c>
    </row>
    <row r="39" spans="1:7" x14ac:dyDescent="0.3">
      <c r="A39" s="48">
        <v>45389</v>
      </c>
      <c r="B39" s="1">
        <v>2024</v>
      </c>
      <c r="C39" s="1">
        <v>4</v>
      </c>
      <c r="D39" s="1" t="s">
        <v>139</v>
      </c>
      <c r="E39" s="1">
        <v>2</v>
      </c>
      <c r="F39" s="1" t="s">
        <v>134</v>
      </c>
      <c r="G39" s="1" t="s">
        <v>133</v>
      </c>
    </row>
    <row r="40" spans="1:7" x14ac:dyDescent="0.3">
      <c r="A40" s="48">
        <v>45390</v>
      </c>
      <c r="B40" s="1">
        <v>2024</v>
      </c>
      <c r="C40" s="1">
        <v>4</v>
      </c>
      <c r="D40" s="1" t="s">
        <v>139</v>
      </c>
      <c r="E40" s="1">
        <v>2</v>
      </c>
      <c r="F40" s="1" t="s">
        <v>135</v>
      </c>
      <c r="G40" s="1" t="s">
        <v>83</v>
      </c>
    </row>
    <row r="41" spans="1:7" x14ac:dyDescent="0.3">
      <c r="A41" s="48">
        <v>45391</v>
      </c>
      <c r="B41" s="1">
        <v>2024</v>
      </c>
      <c r="C41" s="1">
        <v>4</v>
      </c>
      <c r="D41" s="1" t="s">
        <v>139</v>
      </c>
      <c r="E41" s="1">
        <v>2</v>
      </c>
      <c r="F41" s="1" t="s">
        <v>136</v>
      </c>
      <c r="G41" s="1" t="s">
        <v>83</v>
      </c>
    </row>
    <row r="42" spans="1:7" x14ac:dyDescent="0.3">
      <c r="A42" s="48">
        <v>45392</v>
      </c>
      <c r="B42" s="1">
        <v>2024</v>
      </c>
      <c r="C42" s="1">
        <v>4</v>
      </c>
      <c r="D42" s="1" t="s">
        <v>139</v>
      </c>
      <c r="E42" s="1">
        <v>2</v>
      </c>
      <c r="F42" s="1" t="s">
        <v>137</v>
      </c>
      <c r="G42" s="1" t="s">
        <v>83</v>
      </c>
    </row>
    <row r="43" spans="1:7" x14ac:dyDescent="0.3">
      <c r="A43" s="48">
        <v>45393</v>
      </c>
      <c r="B43" s="1">
        <v>2024</v>
      </c>
      <c r="C43" s="1">
        <v>4</v>
      </c>
      <c r="D43" s="1" t="s">
        <v>139</v>
      </c>
      <c r="E43" s="1">
        <v>2</v>
      </c>
      <c r="F43" s="1" t="s">
        <v>138</v>
      </c>
      <c r="G43" s="1" t="s">
        <v>83</v>
      </c>
    </row>
    <row r="44" spans="1:7" x14ac:dyDescent="0.3">
      <c r="A44" s="48">
        <v>45394</v>
      </c>
      <c r="B44" s="1">
        <v>2024</v>
      </c>
      <c r="C44" s="1">
        <v>4</v>
      </c>
      <c r="D44" s="1" t="s">
        <v>139</v>
      </c>
      <c r="E44" s="1">
        <v>2</v>
      </c>
      <c r="F44" s="1" t="s">
        <v>131</v>
      </c>
      <c r="G44" s="1" t="s">
        <v>83</v>
      </c>
    </row>
    <row r="45" spans="1:7" x14ac:dyDescent="0.3">
      <c r="A45" s="48">
        <v>45395</v>
      </c>
      <c r="B45" s="1">
        <v>2024</v>
      </c>
      <c r="C45" s="1">
        <v>4</v>
      </c>
      <c r="D45" s="1" t="s">
        <v>139</v>
      </c>
      <c r="E45" s="1">
        <v>2</v>
      </c>
      <c r="F45" s="1" t="s">
        <v>132</v>
      </c>
      <c r="G45" s="1" t="s">
        <v>133</v>
      </c>
    </row>
    <row r="46" spans="1:7" x14ac:dyDescent="0.3">
      <c r="A46" s="48">
        <v>45396</v>
      </c>
      <c r="B46" s="1">
        <v>2024</v>
      </c>
      <c r="C46" s="1">
        <v>4</v>
      </c>
      <c r="D46" s="1" t="s">
        <v>139</v>
      </c>
      <c r="E46" s="1">
        <v>2</v>
      </c>
      <c r="F46" s="1" t="s">
        <v>134</v>
      </c>
      <c r="G46" s="1" t="s">
        <v>133</v>
      </c>
    </row>
    <row r="47" spans="1:7" x14ac:dyDescent="0.3">
      <c r="A47" s="48">
        <v>45397</v>
      </c>
      <c r="B47" s="1">
        <v>2024</v>
      </c>
      <c r="C47" s="1">
        <v>4</v>
      </c>
      <c r="D47" s="1" t="s">
        <v>139</v>
      </c>
      <c r="E47" s="1">
        <v>2</v>
      </c>
      <c r="F47" s="1" t="s">
        <v>135</v>
      </c>
      <c r="G47" s="1" t="s">
        <v>83</v>
      </c>
    </row>
    <row r="48" spans="1:7" x14ac:dyDescent="0.3">
      <c r="A48" s="48">
        <v>45398</v>
      </c>
      <c r="B48" s="1">
        <v>2024</v>
      </c>
      <c r="C48" s="1">
        <v>4</v>
      </c>
      <c r="D48" s="1" t="s">
        <v>139</v>
      </c>
      <c r="E48" s="1">
        <v>2</v>
      </c>
      <c r="F48" s="1" t="s">
        <v>136</v>
      </c>
      <c r="G48" s="1" t="s">
        <v>83</v>
      </c>
    </row>
    <row r="49" spans="1:7" x14ac:dyDescent="0.3">
      <c r="A49" s="48">
        <v>45399</v>
      </c>
      <c r="B49" s="1">
        <v>2024</v>
      </c>
      <c r="C49" s="1">
        <v>4</v>
      </c>
      <c r="D49" s="1" t="s">
        <v>139</v>
      </c>
      <c r="E49" s="1">
        <v>2</v>
      </c>
      <c r="F49" s="1" t="s">
        <v>137</v>
      </c>
      <c r="G49" s="1" t="s">
        <v>83</v>
      </c>
    </row>
    <row r="50" spans="1:7" x14ac:dyDescent="0.3">
      <c r="A50" s="48">
        <v>45400</v>
      </c>
      <c r="B50" s="1">
        <v>2024</v>
      </c>
      <c r="C50" s="1">
        <v>4</v>
      </c>
      <c r="D50" s="1" t="s">
        <v>139</v>
      </c>
      <c r="E50" s="1">
        <v>2</v>
      </c>
      <c r="F50" s="1" t="s">
        <v>138</v>
      </c>
      <c r="G50" s="1" t="s">
        <v>83</v>
      </c>
    </row>
    <row r="51" spans="1:7" x14ac:dyDescent="0.3">
      <c r="A51" s="48">
        <v>45401</v>
      </c>
      <c r="B51" s="1">
        <v>2024</v>
      </c>
      <c r="C51" s="1">
        <v>4</v>
      </c>
      <c r="D51" s="1" t="s">
        <v>139</v>
      </c>
      <c r="E51" s="1">
        <v>2</v>
      </c>
      <c r="F51" s="1" t="s">
        <v>131</v>
      </c>
      <c r="G51" s="1" t="s">
        <v>83</v>
      </c>
    </row>
    <row r="52" spans="1:7" x14ac:dyDescent="0.3">
      <c r="A52" s="48">
        <v>45402</v>
      </c>
      <c r="B52" s="1">
        <v>2024</v>
      </c>
      <c r="C52" s="1">
        <v>4</v>
      </c>
      <c r="D52" s="1" t="s">
        <v>139</v>
      </c>
      <c r="E52" s="1">
        <v>2</v>
      </c>
      <c r="F52" s="1" t="s">
        <v>132</v>
      </c>
      <c r="G52" s="1" t="s">
        <v>133</v>
      </c>
    </row>
    <row r="53" spans="1:7" x14ac:dyDescent="0.3">
      <c r="A53" s="48">
        <v>45403</v>
      </c>
      <c r="B53" s="1">
        <v>2024</v>
      </c>
      <c r="C53" s="1">
        <v>4</v>
      </c>
      <c r="D53" s="1" t="s">
        <v>139</v>
      </c>
      <c r="E53" s="1">
        <v>2</v>
      </c>
      <c r="F53" s="1" t="s">
        <v>134</v>
      </c>
      <c r="G53" s="1" t="s">
        <v>133</v>
      </c>
    </row>
    <row r="54" spans="1:7" x14ac:dyDescent="0.3">
      <c r="A54" s="48">
        <v>45404</v>
      </c>
      <c r="B54" s="1">
        <v>2024</v>
      </c>
      <c r="C54" s="1">
        <v>4</v>
      </c>
      <c r="D54" s="1" t="s">
        <v>139</v>
      </c>
      <c r="E54" s="1">
        <v>2</v>
      </c>
      <c r="F54" s="1" t="s">
        <v>135</v>
      </c>
      <c r="G54" s="1" t="s">
        <v>83</v>
      </c>
    </row>
    <row r="55" spans="1:7" x14ac:dyDescent="0.3">
      <c r="A55" s="48">
        <v>45405</v>
      </c>
      <c r="B55" s="1">
        <v>2024</v>
      </c>
      <c r="C55" s="1">
        <v>4</v>
      </c>
      <c r="D55" s="1" t="s">
        <v>139</v>
      </c>
      <c r="E55" s="1">
        <v>2</v>
      </c>
      <c r="F55" s="1" t="s">
        <v>136</v>
      </c>
      <c r="G55" s="1" t="s">
        <v>83</v>
      </c>
    </row>
    <row r="56" spans="1:7" x14ac:dyDescent="0.3">
      <c r="A56" s="48">
        <v>45406</v>
      </c>
      <c r="B56" s="1">
        <v>2024</v>
      </c>
      <c r="C56" s="1">
        <v>4</v>
      </c>
      <c r="D56" s="1" t="s">
        <v>139</v>
      </c>
      <c r="E56" s="1">
        <v>2</v>
      </c>
      <c r="F56" s="1" t="s">
        <v>137</v>
      </c>
      <c r="G56" s="1" t="s">
        <v>83</v>
      </c>
    </row>
    <row r="57" spans="1:7" x14ac:dyDescent="0.3">
      <c r="A57" s="48">
        <v>45407</v>
      </c>
      <c r="B57" s="1">
        <v>2024</v>
      </c>
      <c r="C57" s="1">
        <v>4</v>
      </c>
      <c r="D57" s="1" t="s">
        <v>139</v>
      </c>
      <c r="E57" s="1">
        <v>2</v>
      </c>
      <c r="F57" s="1" t="s">
        <v>138</v>
      </c>
      <c r="G57" s="1" t="s">
        <v>83</v>
      </c>
    </row>
    <row r="58" spans="1:7" x14ac:dyDescent="0.3">
      <c r="A58" s="48">
        <v>45408</v>
      </c>
      <c r="B58" s="1">
        <v>2024</v>
      </c>
      <c r="C58" s="1">
        <v>4</v>
      </c>
      <c r="D58" s="1" t="s">
        <v>139</v>
      </c>
      <c r="E58" s="1">
        <v>2</v>
      </c>
      <c r="F58" s="1" t="s">
        <v>131</v>
      </c>
      <c r="G58" s="1" t="s">
        <v>83</v>
      </c>
    </row>
    <row r="59" spans="1:7" x14ac:dyDescent="0.3">
      <c r="A59" s="48">
        <v>45409</v>
      </c>
      <c r="B59" s="1">
        <v>2024</v>
      </c>
      <c r="C59" s="1">
        <v>4</v>
      </c>
      <c r="D59" s="1" t="s">
        <v>139</v>
      </c>
      <c r="E59" s="1">
        <v>2</v>
      </c>
      <c r="F59" s="1" t="s">
        <v>132</v>
      </c>
      <c r="G59" s="1" t="s">
        <v>133</v>
      </c>
    </row>
    <row r="60" spans="1:7" x14ac:dyDescent="0.3">
      <c r="A60" s="48">
        <v>45410</v>
      </c>
      <c r="B60" s="1">
        <v>2024</v>
      </c>
      <c r="C60" s="1">
        <v>4</v>
      </c>
      <c r="D60" s="1" t="s">
        <v>139</v>
      </c>
      <c r="E60" s="1">
        <v>2</v>
      </c>
      <c r="F60" s="1" t="s">
        <v>134</v>
      </c>
      <c r="G60" s="1" t="s">
        <v>133</v>
      </c>
    </row>
    <row r="61" spans="1:7" x14ac:dyDescent="0.3">
      <c r="A61" s="48">
        <v>45411</v>
      </c>
      <c r="B61" s="1">
        <v>2024</v>
      </c>
      <c r="C61" s="1">
        <v>4</v>
      </c>
      <c r="D61" s="1" t="s">
        <v>139</v>
      </c>
      <c r="E61" s="1">
        <v>2</v>
      </c>
      <c r="F61" s="1" t="s">
        <v>135</v>
      </c>
      <c r="G61" s="1" t="s">
        <v>83</v>
      </c>
    </row>
    <row r="62" spans="1:7" x14ac:dyDescent="0.3">
      <c r="A62" s="48">
        <v>45412</v>
      </c>
      <c r="B62" s="1">
        <v>2024</v>
      </c>
      <c r="C62" s="1">
        <v>4</v>
      </c>
      <c r="D62" s="1" t="s">
        <v>139</v>
      </c>
      <c r="E62" s="1">
        <v>2</v>
      </c>
      <c r="F62" s="1" t="s">
        <v>136</v>
      </c>
      <c r="G62" s="1" t="s">
        <v>83</v>
      </c>
    </row>
    <row r="63" spans="1:7" x14ac:dyDescent="0.3">
      <c r="A63" s="48">
        <v>45413</v>
      </c>
      <c r="B63" s="1">
        <v>2024</v>
      </c>
      <c r="C63" s="1">
        <v>5</v>
      </c>
      <c r="D63" s="1" t="s">
        <v>140</v>
      </c>
      <c r="E63" s="1">
        <v>2</v>
      </c>
      <c r="F63" s="1" t="s">
        <v>137</v>
      </c>
      <c r="G63" s="1" t="s">
        <v>83</v>
      </c>
    </row>
    <row r="64" spans="1:7" x14ac:dyDescent="0.3">
      <c r="A64" s="48">
        <v>45414</v>
      </c>
      <c r="B64" s="1">
        <v>2024</v>
      </c>
      <c r="C64" s="1">
        <v>5</v>
      </c>
      <c r="D64" s="1" t="s">
        <v>140</v>
      </c>
      <c r="E64" s="1">
        <v>2</v>
      </c>
      <c r="F64" s="1" t="s">
        <v>138</v>
      </c>
      <c r="G64" s="1" t="s">
        <v>83</v>
      </c>
    </row>
    <row r="65" spans="1:7" x14ac:dyDescent="0.3">
      <c r="A65" s="48">
        <v>45415</v>
      </c>
      <c r="B65" s="1">
        <v>2024</v>
      </c>
      <c r="C65" s="1">
        <v>5</v>
      </c>
      <c r="D65" s="1" t="s">
        <v>140</v>
      </c>
      <c r="E65" s="1">
        <v>2</v>
      </c>
      <c r="F65" s="1" t="s">
        <v>131</v>
      </c>
      <c r="G65" s="1" t="s">
        <v>83</v>
      </c>
    </row>
    <row r="66" spans="1:7" x14ac:dyDescent="0.3">
      <c r="A66" s="48">
        <v>45416</v>
      </c>
      <c r="B66" s="1">
        <v>2024</v>
      </c>
      <c r="C66" s="1">
        <v>5</v>
      </c>
      <c r="D66" s="1" t="s">
        <v>140</v>
      </c>
      <c r="E66" s="1">
        <v>2</v>
      </c>
      <c r="F66" s="1" t="s">
        <v>132</v>
      </c>
      <c r="G66" s="1" t="s">
        <v>133</v>
      </c>
    </row>
    <row r="67" spans="1:7" x14ac:dyDescent="0.3">
      <c r="A67" s="48">
        <v>45417</v>
      </c>
      <c r="B67" s="1">
        <v>2024</v>
      </c>
      <c r="C67" s="1">
        <v>5</v>
      </c>
      <c r="D67" s="1" t="s">
        <v>140</v>
      </c>
      <c r="E67" s="1">
        <v>2</v>
      </c>
      <c r="F67" s="1" t="s">
        <v>134</v>
      </c>
      <c r="G67" s="1" t="s">
        <v>133</v>
      </c>
    </row>
    <row r="68" spans="1:7" x14ac:dyDescent="0.3">
      <c r="A68" s="48">
        <v>45418</v>
      </c>
      <c r="B68" s="1">
        <v>2024</v>
      </c>
      <c r="C68" s="1">
        <v>5</v>
      </c>
      <c r="D68" s="1" t="s">
        <v>140</v>
      </c>
      <c r="E68" s="1">
        <v>2</v>
      </c>
      <c r="F68" s="1" t="s">
        <v>135</v>
      </c>
      <c r="G68" s="1" t="s">
        <v>83</v>
      </c>
    </row>
    <row r="69" spans="1:7" x14ac:dyDescent="0.3">
      <c r="A69" s="48">
        <v>45419</v>
      </c>
      <c r="B69" s="1">
        <v>2024</v>
      </c>
      <c r="C69" s="1">
        <v>5</v>
      </c>
      <c r="D69" s="1" t="s">
        <v>140</v>
      </c>
      <c r="E69" s="1">
        <v>2</v>
      </c>
      <c r="F69" s="1" t="s">
        <v>136</v>
      </c>
      <c r="G69" s="1" t="s">
        <v>83</v>
      </c>
    </row>
    <row r="70" spans="1:7" x14ac:dyDescent="0.3">
      <c r="A70" s="48">
        <v>45420</v>
      </c>
      <c r="B70" s="1">
        <v>2024</v>
      </c>
      <c r="C70" s="1">
        <v>5</v>
      </c>
      <c r="D70" s="1" t="s">
        <v>140</v>
      </c>
      <c r="E70" s="1">
        <v>2</v>
      </c>
      <c r="F70" s="1" t="s">
        <v>137</v>
      </c>
      <c r="G70" s="1" t="s">
        <v>83</v>
      </c>
    </row>
    <row r="71" spans="1:7" x14ac:dyDescent="0.3">
      <c r="A71" s="48">
        <v>45421</v>
      </c>
      <c r="B71" s="1">
        <v>2024</v>
      </c>
      <c r="C71" s="1">
        <v>5</v>
      </c>
      <c r="D71" s="1" t="s">
        <v>140</v>
      </c>
      <c r="E71" s="1">
        <v>2</v>
      </c>
      <c r="F71" s="1" t="s">
        <v>138</v>
      </c>
      <c r="G71" s="1" t="s">
        <v>83</v>
      </c>
    </row>
    <row r="72" spans="1:7" x14ac:dyDescent="0.3">
      <c r="A72" s="48">
        <v>45422</v>
      </c>
      <c r="B72" s="1">
        <v>2024</v>
      </c>
      <c r="C72" s="1">
        <v>5</v>
      </c>
      <c r="D72" s="1" t="s">
        <v>140</v>
      </c>
      <c r="E72" s="1">
        <v>2</v>
      </c>
      <c r="F72" s="1" t="s">
        <v>131</v>
      </c>
      <c r="G72" s="1" t="s">
        <v>83</v>
      </c>
    </row>
    <row r="73" spans="1:7" x14ac:dyDescent="0.3">
      <c r="A73" s="48">
        <v>45423</v>
      </c>
      <c r="B73" s="1">
        <v>2024</v>
      </c>
      <c r="C73" s="1">
        <v>5</v>
      </c>
      <c r="D73" s="1" t="s">
        <v>140</v>
      </c>
      <c r="E73" s="1">
        <v>2</v>
      </c>
      <c r="F73" s="1" t="s">
        <v>132</v>
      </c>
      <c r="G73" s="1" t="s">
        <v>133</v>
      </c>
    </row>
    <row r="74" spans="1:7" x14ac:dyDescent="0.3">
      <c r="A74" s="48">
        <v>45424</v>
      </c>
      <c r="B74" s="1">
        <v>2024</v>
      </c>
      <c r="C74" s="1">
        <v>5</v>
      </c>
      <c r="D74" s="1" t="s">
        <v>140</v>
      </c>
      <c r="E74" s="1">
        <v>2</v>
      </c>
      <c r="F74" s="1" t="s">
        <v>134</v>
      </c>
      <c r="G74" s="1" t="s">
        <v>133</v>
      </c>
    </row>
    <row r="75" spans="1:7" x14ac:dyDescent="0.3">
      <c r="A75" s="48">
        <v>45425</v>
      </c>
      <c r="B75" s="1">
        <v>2024</v>
      </c>
      <c r="C75" s="1">
        <v>5</v>
      </c>
      <c r="D75" s="1" t="s">
        <v>140</v>
      </c>
      <c r="E75" s="1">
        <v>2</v>
      </c>
      <c r="F75" s="1" t="s">
        <v>135</v>
      </c>
      <c r="G75" s="1" t="s">
        <v>83</v>
      </c>
    </row>
    <row r="76" spans="1:7" x14ac:dyDescent="0.3">
      <c r="A76" s="48">
        <v>45426</v>
      </c>
      <c r="B76" s="1">
        <v>2024</v>
      </c>
      <c r="C76" s="1">
        <v>5</v>
      </c>
      <c r="D76" s="1" t="s">
        <v>140</v>
      </c>
      <c r="E76" s="1">
        <v>2</v>
      </c>
      <c r="F76" s="1" t="s">
        <v>136</v>
      </c>
      <c r="G76" s="1" t="s">
        <v>83</v>
      </c>
    </row>
    <row r="77" spans="1:7" x14ac:dyDescent="0.3">
      <c r="A77" s="48">
        <v>45427</v>
      </c>
      <c r="B77" s="1">
        <v>2024</v>
      </c>
      <c r="C77" s="1">
        <v>5</v>
      </c>
      <c r="D77" s="1" t="s">
        <v>140</v>
      </c>
      <c r="E77" s="1">
        <v>2</v>
      </c>
      <c r="F77" s="1" t="s">
        <v>137</v>
      </c>
      <c r="G77" s="1" t="s">
        <v>83</v>
      </c>
    </row>
    <row r="78" spans="1:7" x14ac:dyDescent="0.3">
      <c r="A78" s="48">
        <v>45428</v>
      </c>
      <c r="B78" s="1">
        <v>2024</v>
      </c>
      <c r="C78" s="1">
        <v>5</v>
      </c>
      <c r="D78" s="1" t="s">
        <v>140</v>
      </c>
      <c r="E78" s="1">
        <v>2</v>
      </c>
      <c r="F78" s="1" t="s">
        <v>138</v>
      </c>
      <c r="G78" s="1" t="s">
        <v>83</v>
      </c>
    </row>
    <row r="79" spans="1:7" x14ac:dyDescent="0.3">
      <c r="A79" s="48">
        <v>45429</v>
      </c>
      <c r="B79" s="1">
        <v>2024</v>
      </c>
      <c r="C79" s="1">
        <v>5</v>
      </c>
      <c r="D79" s="1" t="s">
        <v>140</v>
      </c>
      <c r="E79" s="1">
        <v>2</v>
      </c>
      <c r="F79" s="1" t="s">
        <v>131</v>
      </c>
      <c r="G79" s="1" t="s">
        <v>83</v>
      </c>
    </row>
    <row r="80" spans="1:7" x14ac:dyDescent="0.3">
      <c r="A80" s="48">
        <v>45430</v>
      </c>
      <c r="B80" s="1">
        <v>2024</v>
      </c>
      <c r="C80" s="1">
        <v>5</v>
      </c>
      <c r="D80" s="1" t="s">
        <v>140</v>
      </c>
      <c r="E80" s="1">
        <v>2</v>
      </c>
      <c r="F80" s="1" t="s">
        <v>132</v>
      </c>
      <c r="G80" s="1" t="s">
        <v>133</v>
      </c>
    </row>
    <row r="81" spans="1:7" x14ac:dyDescent="0.3">
      <c r="A81" s="48">
        <v>45431</v>
      </c>
      <c r="B81" s="1">
        <v>2024</v>
      </c>
      <c r="C81" s="1">
        <v>5</v>
      </c>
      <c r="D81" s="1" t="s">
        <v>140</v>
      </c>
      <c r="E81" s="1">
        <v>2</v>
      </c>
      <c r="F81" s="1" t="s">
        <v>134</v>
      </c>
      <c r="G81" s="1" t="s">
        <v>133</v>
      </c>
    </row>
    <row r="82" spans="1:7" x14ac:dyDescent="0.3">
      <c r="A82" s="48">
        <v>45432</v>
      </c>
      <c r="B82" s="1">
        <v>2024</v>
      </c>
      <c r="C82" s="1">
        <v>5</v>
      </c>
      <c r="D82" s="1" t="s">
        <v>140</v>
      </c>
      <c r="E82" s="1">
        <v>2</v>
      </c>
      <c r="F82" s="1" t="s">
        <v>135</v>
      </c>
      <c r="G82" s="1" t="s">
        <v>83</v>
      </c>
    </row>
    <row r="83" spans="1:7" x14ac:dyDescent="0.3">
      <c r="A83" s="48">
        <v>45433</v>
      </c>
      <c r="B83" s="1">
        <v>2024</v>
      </c>
      <c r="C83" s="1">
        <v>5</v>
      </c>
      <c r="D83" s="1" t="s">
        <v>140</v>
      </c>
      <c r="E83" s="1">
        <v>2</v>
      </c>
      <c r="F83" s="1" t="s">
        <v>136</v>
      </c>
      <c r="G83" s="1" t="s">
        <v>83</v>
      </c>
    </row>
    <row r="84" spans="1:7" x14ac:dyDescent="0.3">
      <c r="A84" s="48">
        <v>45434</v>
      </c>
      <c r="B84" s="1">
        <v>2024</v>
      </c>
      <c r="C84" s="1">
        <v>5</v>
      </c>
      <c r="D84" s="1" t="s">
        <v>140</v>
      </c>
      <c r="E84" s="1">
        <v>2</v>
      </c>
      <c r="F84" s="1" t="s">
        <v>137</v>
      </c>
      <c r="G84" s="1" t="s">
        <v>83</v>
      </c>
    </row>
    <row r="85" spans="1:7" x14ac:dyDescent="0.3">
      <c r="A85" s="48">
        <v>45435</v>
      </c>
      <c r="B85" s="1">
        <v>2024</v>
      </c>
      <c r="C85" s="1">
        <v>5</v>
      </c>
      <c r="D85" s="1" t="s">
        <v>140</v>
      </c>
      <c r="E85" s="1">
        <v>2</v>
      </c>
      <c r="F85" s="1" t="s">
        <v>138</v>
      </c>
      <c r="G85" s="1" t="s">
        <v>83</v>
      </c>
    </row>
    <row r="86" spans="1:7" x14ac:dyDescent="0.3">
      <c r="A86" s="48">
        <v>45436</v>
      </c>
      <c r="B86" s="1">
        <v>2024</v>
      </c>
      <c r="C86" s="1">
        <v>5</v>
      </c>
      <c r="D86" s="1" t="s">
        <v>140</v>
      </c>
      <c r="E86" s="1">
        <v>2</v>
      </c>
      <c r="F86" s="1" t="s">
        <v>131</v>
      </c>
      <c r="G86" s="1" t="s">
        <v>83</v>
      </c>
    </row>
    <row r="87" spans="1:7" x14ac:dyDescent="0.3">
      <c r="A87" s="48">
        <v>45437</v>
      </c>
      <c r="B87" s="1">
        <v>2024</v>
      </c>
      <c r="C87" s="1">
        <v>5</v>
      </c>
      <c r="D87" s="1" t="s">
        <v>140</v>
      </c>
      <c r="E87" s="1">
        <v>2</v>
      </c>
      <c r="F87" s="1" t="s">
        <v>132</v>
      </c>
      <c r="G87" s="1" t="s">
        <v>133</v>
      </c>
    </row>
    <row r="88" spans="1:7" x14ac:dyDescent="0.3">
      <c r="A88" s="48">
        <v>45438</v>
      </c>
      <c r="B88" s="1">
        <v>2024</v>
      </c>
      <c r="C88" s="1">
        <v>5</v>
      </c>
      <c r="D88" s="1" t="s">
        <v>140</v>
      </c>
      <c r="E88" s="1">
        <v>2</v>
      </c>
      <c r="F88" s="1" t="s">
        <v>134</v>
      </c>
      <c r="G88" s="1" t="s">
        <v>133</v>
      </c>
    </row>
    <row r="89" spans="1:7" x14ac:dyDescent="0.3">
      <c r="A89" s="48">
        <v>45439</v>
      </c>
      <c r="B89" s="1">
        <v>2024</v>
      </c>
      <c r="C89" s="1">
        <v>5</v>
      </c>
      <c r="D89" s="1" t="s">
        <v>140</v>
      </c>
      <c r="E89" s="1">
        <v>2</v>
      </c>
      <c r="F89" s="1" t="s">
        <v>135</v>
      </c>
      <c r="G89" s="1" t="s">
        <v>83</v>
      </c>
    </row>
    <row r="90" spans="1:7" x14ac:dyDescent="0.3">
      <c r="A90" s="48">
        <v>45440</v>
      </c>
      <c r="B90" s="1">
        <v>2024</v>
      </c>
      <c r="C90" s="1">
        <v>5</v>
      </c>
      <c r="D90" s="1" t="s">
        <v>140</v>
      </c>
      <c r="E90" s="1">
        <v>2</v>
      </c>
      <c r="F90" s="1" t="s">
        <v>136</v>
      </c>
      <c r="G90" s="1" t="s">
        <v>83</v>
      </c>
    </row>
    <row r="91" spans="1:7" x14ac:dyDescent="0.3">
      <c r="A91" s="48">
        <v>45441</v>
      </c>
      <c r="B91" s="1">
        <v>2024</v>
      </c>
      <c r="C91" s="1">
        <v>5</v>
      </c>
      <c r="D91" s="1" t="s">
        <v>140</v>
      </c>
      <c r="E91" s="1">
        <v>2</v>
      </c>
      <c r="F91" s="1" t="s">
        <v>137</v>
      </c>
      <c r="G91" s="1" t="s">
        <v>83</v>
      </c>
    </row>
    <row r="92" spans="1:7" x14ac:dyDescent="0.3">
      <c r="A92" s="48">
        <v>45442</v>
      </c>
      <c r="B92" s="1">
        <v>2024</v>
      </c>
      <c r="C92" s="1">
        <v>5</v>
      </c>
      <c r="D92" s="1" t="s">
        <v>140</v>
      </c>
      <c r="E92" s="1">
        <v>2</v>
      </c>
      <c r="F92" s="1" t="s">
        <v>138</v>
      </c>
      <c r="G92" s="1" t="s">
        <v>83</v>
      </c>
    </row>
    <row r="93" spans="1:7" x14ac:dyDescent="0.3">
      <c r="A93" s="48">
        <v>45443</v>
      </c>
      <c r="B93" s="1">
        <v>2024</v>
      </c>
      <c r="C93" s="1">
        <v>5</v>
      </c>
      <c r="D93" s="1" t="s">
        <v>140</v>
      </c>
      <c r="E93" s="1">
        <v>2</v>
      </c>
      <c r="F93" s="1" t="s">
        <v>131</v>
      </c>
      <c r="G93" s="1" t="s">
        <v>83</v>
      </c>
    </row>
    <row r="94" spans="1:7" x14ac:dyDescent="0.3">
      <c r="A94" s="48">
        <v>45444</v>
      </c>
      <c r="B94" s="1">
        <v>2024</v>
      </c>
      <c r="C94" s="1">
        <v>6</v>
      </c>
      <c r="D94" s="1" t="s">
        <v>141</v>
      </c>
      <c r="E94" s="1">
        <v>2</v>
      </c>
      <c r="F94" s="1" t="s">
        <v>132</v>
      </c>
      <c r="G94" s="1" t="s">
        <v>133</v>
      </c>
    </row>
    <row r="95" spans="1:7" x14ac:dyDescent="0.3">
      <c r="A95" s="48">
        <v>45445</v>
      </c>
      <c r="B95" s="1">
        <v>2024</v>
      </c>
      <c r="C95" s="1">
        <v>6</v>
      </c>
      <c r="D95" s="1" t="s">
        <v>141</v>
      </c>
      <c r="E95" s="1">
        <v>2</v>
      </c>
      <c r="F95" s="1" t="s">
        <v>134</v>
      </c>
      <c r="G95" s="1" t="s">
        <v>133</v>
      </c>
    </row>
    <row r="96" spans="1:7" x14ac:dyDescent="0.3">
      <c r="A96" s="48">
        <v>45446</v>
      </c>
      <c r="B96" s="1">
        <v>2024</v>
      </c>
      <c r="C96" s="1">
        <v>6</v>
      </c>
      <c r="D96" s="1" t="s">
        <v>141</v>
      </c>
      <c r="E96" s="1">
        <v>2</v>
      </c>
      <c r="F96" s="1" t="s">
        <v>135</v>
      </c>
      <c r="G96" s="1" t="s">
        <v>83</v>
      </c>
    </row>
    <row r="97" spans="1:7" x14ac:dyDescent="0.3">
      <c r="A97" s="48">
        <v>45447</v>
      </c>
      <c r="B97" s="1">
        <v>2024</v>
      </c>
      <c r="C97" s="1">
        <v>6</v>
      </c>
      <c r="D97" s="1" t="s">
        <v>141</v>
      </c>
      <c r="E97" s="1">
        <v>2</v>
      </c>
      <c r="F97" s="1" t="s">
        <v>136</v>
      </c>
      <c r="G97" s="1" t="s">
        <v>83</v>
      </c>
    </row>
    <row r="98" spans="1:7" x14ac:dyDescent="0.3">
      <c r="A98" s="48">
        <v>45448</v>
      </c>
      <c r="B98" s="1">
        <v>2024</v>
      </c>
      <c r="C98" s="1">
        <v>6</v>
      </c>
      <c r="D98" s="1" t="s">
        <v>141</v>
      </c>
      <c r="E98" s="1">
        <v>2</v>
      </c>
      <c r="F98" s="1" t="s">
        <v>137</v>
      </c>
      <c r="G98" s="1" t="s">
        <v>83</v>
      </c>
    </row>
    <row r="99" spans="1:7" x14ac:dyDescent="0.3">
      <c r="A99" s="48">
        <v>45449</v>
      </c>
      <c r="B99" s="1">
        <v>2024</v>
      </c>
      <c r="C99" s="1">
        <v>6</v>
      </c>
      <c r="D99" s="1" t="s">
        <v>141</v>
      </c>
      <c r="E99" s="1">
        <v>2</v>
      </c>
      <c r="F99" s="1" t="s">
        <v>138</v>
      </c>
      <c r="G99" s="1" t="s">
        <v>83</v>
      </c>
    </row>
    <row r="100" spans="1:7" x14ac:dyDescent="0.3">
      <c r="A100" s="48">
        <v>45450</v>
      </c>
      <c r="B100" s="1">
        <v>2024</v>
      </c>
      <c r="C100" s="1">
        <v>6</v>
      </c>
      <c r="D100" s="1" t="s">
        <v>141</v>
      </c>
      <c r="E100" s="1">
        <v>2</v>
      </c>
      <c r="F100" s="1" t="s">
        <v>131</v>
      </c>
      <c r="G100" s="1" t="s">
        <v>83</v>
      </c>
    </row>
    <row r="101" spans="1:7" x14ac:dyDescent="0.3">
      <c r="A101" s="48">
        <v>45451</v>
      </c>
      <c r="B101" s="1">
        <v>2024</v>
      </c>
      <c r="C101" s="1">
        <v>6</v>
      </c>
      <c r="D101" s="1" t="s">
        <v>141</v>
      </c>
      <c r="E101" s="1">
        <v>2</v>
      </c>
      <c r="F101" s="1" t="s">
        <v>132</v>
      </c>
      <c r="G101" s="1" t="s">
        <v>133</v>
      </c>
    </row>
    <row r="102" spans="1:7" x14ac:dyDescent="0.3">
      <c r="A102" s="48">
        <v>45452</v>
      </c>
      <c r="B102" s="1">
        <v>2024</v>
      </c>
      <c r="C102" s="1">
        <v>6</v>
      </c>
      <c r="D102" s="1" t="s">
        <v>141</v>
      </c>
      <c r="E102" s="1">
        <v>2</v>
      </c>
      <c r="F102" s="1" t="s">
        <v>134</v>
      </c>
      <c r="G102" s="1" t="s">
        <v>133</v>
      </c>
    </row>
    <row r="103" spans="1:7" x14ac:dyDescent="0.3">
      <c r="A103" s="48">
        <v>45453</v>
      </c>
      <c r="B103" s="1">
        <v>2024</v>
      </c>
      <c r="C103" s="1">
        <v>6</v>
      </c>
      <c r="D103" s="1" t="s">
        <v>141</v>
      </c>
      <c r="E103" s="1">
        <v>2</v>
      </c>
      <c r="F103" s="1" t="s">
        <v>135</v>
      </c>
      <c r="G103" s="1" t="s">
        <v>83</v>
      </c>
    </row>
    <row r="104" spans="1:7" x14ac:dyDescent="0.3">
      <c r="A104" s="48">
        <v>45454</v>
      </c>
      <c r="B104" s="1">
        <v>2024</v>
      </c>
      <c r="C104" s="1">
        <v>6</v>
      </c>
      <c r="D104" s="1" t="s">
        <v>141</v>
      </c>
      <c r="E104" s="1">
        <v>2</v>
      </c>
      <c r="F104" s="1" t="s">
        <v>136</v>
      </c>
      <c r="G104" s="1" t="s">
        <v>83</v>
      </c>
    </row>
    <row r="105" spans="1:7" x14ac:dyDescent="0.3">
      <c r="A105" s="48">
        <v>45455</v>
      </c>
      <c r="B105" s="1">
        <v>2024</v>
      </c>
      <c r="C105" s="1">
        <v>6</v>
      </c>
      <c r="D105" s="1" t="s">
        <v>141</v>
      </c>
      <c r="E105" s="1">
        <v>2</v>
      </c>
      <c r="F105" s="1" t="s">
        <v>137</v>
      </c>
      <c r="G105" s="1" t="s">
        <v>83</v>
      </c>
    </row>
    <row r="106" spans="1:7" x14ac:dyDescent="0.3">
      <c r="A106" s="48">
        <v>45456</v>
      </c>
      <c r="B106" s="1">
        <v>2024</v>
      </c>
      <c r="C106" s="1">
        <v>6</v>
      </c>
      <c r="D106" s="1" t="s">
        <v>141</v>
      </c>
      <c r="E106" s="1">
        <v>2</v>
      </c>
      <c r="F106" s="1" t="s">
        <v>138</v>
      </c>
      <c r="G106" s="1" t="s">
        <v>83</v>
      </c>
    </row>
    <row r="107" spans="1:7" x14ac:dyDescent="0.3">
      <c r="A107" s="48">
        <v>45457</v>
      </c>
      <c r="B107" s="1">
        <v>2024</v>
      </c>
      <c r="C107" s="1">
        <v>6</v>
      </c>
      <c r="D107" s="1" t="s">
        <v>141</v>
      </c>
      <c r="E107" s="1">
        <v>2</v>
      </c>
      <c r="F107" s="1" t="s">
        <v>131</v>
      </c>
      <c r="G107" s="1" t="s">
        <v>83</v>
      </c>
    </row>
    <row r="108" spans="1:7" x14ac:dyDescent="0.3">
      <c r="A108" s="48">
        <v>45458</v>
      </c>
      <c r="B108" s="1">
        <v>2024</v>
      </c>
      <c r="C108" s="1">
        <v>6</v>
      </c>
      <c r="D108" s="1" t="s">
        <v>141</v>
      </c>
      <c r="E108" s="1">
        <v>2</v>
      </c>
      <c r="F108" s="1" t="s">
        <v>132</v>
      </c>
      <c r="G108" s="1" t="s">
        <v>133</v>
      </c>
    </row>
    <row r="109" spans="1:7" x14ac:dyDescent="0.3">
      <c r="A109" s="48">
        <v>45459</v>
      </c>
      <c r="B109" s="1">
        <v>2024</v>
      </c>
      <c r="C109" s="1">
        <v>6</v>
      </c>
      <c r="D109" s="1" t="s">
        <v>141</v>
      </c>
      <c r="E109" s="1">
        <v>2</v>
      </c>
      <c r="F109" s="1" t="s">
        <v>134</v>
      </c>
      <c r="G109" s="1" t="s">
        <v>133</v>
      </c>
    </row>
    <row r="110" spans="1:7" x14ac:dyDescent="0.3">
      <c r="A110" s="48">
        <v>45460</v>
      </c>
      <c r="B110" s="1">
        <v>2024</v>
      </c>
      <c r="C110" s="1">
        <v>6</v>
      </c>
      <c r="D110" s="1" t="s">
        <v>141</v>
      </c>
      <c r="E110" s="1">
        <v>2</v>
      </c>
      <c r="F110" s="1" t="s">
        <v>135</v>
      </c>
      <c r="G110" s="1" t="s">
        <v>83</v>
      </c>
    </row>
    <row r="111" spans="1:7" x14ac:dyDescent="0.3">
      <c r="A111" s="48">
        <v>45461</v>
      </c>
      <c r="B111" s="1">
        <v>2024</v>
      </c>
      <c r="C111" s="1">
        <v>6</v>
      </c>
      <c r="D111" s="1" t="s">
        <v>141</v>
      </c>
      <c r="E111" s="1">
        <v>2</v>
      </c>
      <c r="F111" s="1" t="s">
        <v>136</v>
      </c>
      <c r="G111" s="1" t="s">
        <v>83</v>
      </c>
    </row>
    <row r="112" spans="1:7" x14ac:dyDescent="0.3">
      <c r="A112" s="48">
        <v>45462</v>
      </c>
      <c r="B112" s="1">
        <v>2024</v>
      </c>
      <c r="C112" s="1">
        <v>6</v>
      </c>
      <c r="D112" s="1" t="s">
        <v>141</v>
      </c>
      <c r="E112" s="1">
        <v>2</v>
      </c>
      <c r="F112" s="1" t="s">
        <v>137</v>
      </c>
      <c r="G112" s="1" t="s">
        <v>83</v>
      </c>
    </row>
    <row r="113" spans="1:7" x14ac:dyDescent="0.3">
      <c r="A113" s="48">
        <v>45463</v>
      </c>
      <c r="B113" s="1">
        <v>2024</v>
      </c>
      <c r="C113" s="1">
        <v>6</v>
      </c>
      <c r="D113" s="1" t="s">
        <v>141</v>
      </c>
      <c r="E113" s="1">
        <v>2</v>
      </c>
      <c r="F113" s="1" t="s">
        <v>138</v>
      </c>
      <c r="G113" s="1" t="s">
        <v>83</v>
      </c>
    </row>
    <row r="114" spans="1:7" x14ac:dyDescent="0.3">
      <c r="A114" s="48">
        <v>45464</v>
      </c>
      <c r="B114" s="1">
        <v>2024</v>
      </c>
      <c r="C114" s="1">
        <v>6</v>
      </c>
      <c r="D114" s="1" t="s">
        <v>141</v>
      </c>
      <c r="E114" s="1">
        <v>2</v>
      </c>
      <c r="F114" s="1" t="s">
        <v>131</v>
      </c>
      <c r="G114" s="1" t="s">
        <v>83</v>
      </c>
    </row>
    <row r="115" spans="1:7" x14ac:dyDescent="0.3">
      <c r="A115" s="48">
        <v>45465</v>
      </c>
      <c r="B115" s="1">
        <v>2024</v>
      </c>
      <c r="C115" s="1">
        <v>6</v>
      </c>
      <c r="D115" s="1" t="s">
        <v>141</v>
      </c>
      <c r="E115" s="1">
        <v>2</v>
      </c>
      <c r="F115" s="1" t="s">
        <v>132</v>
      </c>
      <c r="G115" s="1" t="s">
        <v>133</v>
      </c>
    </row>
    <row r="116" spans="1:7" x14ac:dyDescent="0.3">
      <c r="A116" s="48">
        <v>45466</v>
      </c>
      <c r="B116" s="1">
        <v>2024</v>
      </c>
      <c r="C116" s="1">
        <v>6</v>
      </c>
      <c r="D116" s="1" t="s">
        <v>141</v>
      </c>
      <c r="E116" s="1">
        <v>2</v>
      </c>
      <c r="F116" s="1" t="s">
        <v>134</v>
      </c>
      <c r="G116" s="1" t="s">
        <v>133</v>
      </c>
    </row>
    <row r="117" spans="1:7" x14ac:dyDescent="0.3">
      <c r="A117" s="48">
        <v>45467</v>
      </c>
      <c r="B117" s="1">
        <v>2024</v>
      </c>
      <c r="C117" s="1">
        <v>6</v>
      </c>
      <c r="D117" s="1" t="s">
        <v>141</v>
      </c>
      <c r="E117" s="1">
        <v>2</v>
      </c>
      <c r="F117" s="1" t="s">
        <v>135</v>
      </c>
      <c r="G117" s="1" t="s">
        <v>83</v>
      </c>
    </row>
    <row r="118" spans="1:7" x14ac:dyDescent="0.3">
      <c r="A118" s="48">
        <v>45468</v>
      </c>
      <c r="B118" s="1">
        <v>2024</v>
      </c>
      <c r="C118" s="1">
        <v>6</v>
      </c>
      <c r="D118" s="1" t="s">
        <v>141</v>
      </c>
      <c r="E118" s="1">
        <v>2</v>
      </c>
      <c r="F118" s="1" t="s">
        <v>136</v>
      </c>
      <c r="G118" s="1" t="s">
        <v>83</v>
      </c>
    </row>
    <row r="119" spans="1:7" x14ac:dyDescent="0.3">
      <c r="A119" s="48">
        <v>45469</v>
      </c>
      <c r="B119" s="1">
        <v>2024</v>
      </c>
      <c r="C119" s="1">
        <v>6</v>
      </c>
      <c r="D119" s="1" t="s">
        <v>141</v>
      </c>
      <c r="E119" s="1">
        <v>2</v>
      </c>
      <c r="F119" s="1" t="s">
        <v>137</v>
      </c>
      <c r="G119" s="1" t="s">
        <v>83</v>
      </c>
    </row>
    <row r="120" spans="1:7" x14ac:dyDescent="0.3">
      <c r="A120" s="48">
        <v>45470</v>
      </c>
      <c r="B120" s="1">
        <v>2024</v>
      </c>
      <c r="C120" s="1">
        <v>6</v>
      </c>
      <c r="D120" s="1" t="s">
        <v>141</v>
      </c>
      <c r="E120" s="1">
        <v>2</v>
      </c>
      <c r="F120" s="1" t="s">
        <v>138</v>
      </c>
      <c r="G120" s="1" t="s">
        <v>83</v>
      </c>
    </row>
    <row r="121" spans="1:7" x14ac:dyDescent="0.3">
      <c r="A121" s="48">
        <v>45471</v>
      </c>
      <c r="B121" s="1">
        <v>2024</v>
      </c>
      <c r="C121" s="1">
        <v>6</v>
      </c>
      <c r="D121" s="1" t="s">
        <v>141</v>
      </c>
      <c r="E121" s="1">
        <v>2</v>
      </c>
      <c r="F121" s="1" t="s">
        <v>131</v>
      </c>
      <c r="G121" s="1" t="s">
        <v>83</v>
      </c>
    </row>
    <row r="122" spans="1:7" x14ac:dyDescent="0.3">
      <c r="A122" s="48">
        <v>45472</v>
      </c>
      <c r="B122" s="1">
        <v>2024</v>
      </c>
      <c r="C122" s="1">
        <v>6</v>
      </c>
      <c r="D122" s="1" t="s">
        <v>141</v>
      </c>
      <c r="E122" s="1">
        <v>2</v>
      </c>
      <c r="F122" s="1" t="s">
        <v>132</v>
      </c>
      <c r="G122" s="1" t="s">
        <v>133</v>
      </c>
    </row>
    <row r="123" spans="1:7" x14ac:dyDescent="0.3">
      <c r="A123" s="48">
        <v>45473</v>
      </c>
      <c r="B123" s="1">
        <v>2024</v>
      </c>
      <c r="C123" s="1">
        <v>6</v>
      </c>
      <c r="D123" s="1" t="s">
        <v>141</v>
      </c>
      <c r="E123" s="1">
        <v>2</v>
      </c>
      <c r="F123" s="1" t="s">
        <v>134</v>
      </c>
      <c r="G123" s="1" t="s">
        <v>133</v>
      </c>
    </row>
    <row r="124" spans="1:7" x14ac:dyDescent="0.3">
      <c r="A124" s="48">
        <v>45474</v>
      </c>
      <c r="B124" s="1">
        <v>2024</v>
      </c>
      <c r="C124" s="1">
        <v>7</v>
      </c>
      <c r="D124" s="1" t="s">
        <v>142</v>
      </c>
      <c r="E124" s="1">
        <v>3</v>
      </c>
      <c r="F124" s="1" t="s">
        <v>135</v>
      </c>
      <c r="G124" s="1" t="s">
        <v>83</v>
      </c>
    </row>
    <row r="125" spans="1:7" x14ac:dyDescent="0.3">
      <c r="A125" s="48">
        <v>45475</v>
      </c>
      <c r="B125" s="1">
        <v>2024</v>
      </c>
      <c r="C125" s="1">
        <v>7</v>
      </c>
      <c r="D125" s="1" t="s">
        <v>142</v>
      </c>
      <c r="E125" s="1">
        <v>3</v>
      </c>
      <c r="F125" s="1" t="s">
        <v>136</v>
      </c>
      <c r="G125" s="1" t="s">
        <v>83</v>
      </c>
    </row>
    <row r="126" spans="1:7" x14ac:dyDescent="0.3">
      <c r="A126" s="48">
        <v>45476</v>
      </c>
      <c r="B126" s="1">
        <v>2024</v>
      </c>
      <c r="C126" s="1">
        <v>7</v>
      </c>
      <c r="D126" s="1" t="s">
        <v>142</v>
      </c>
      <c r="E126" s="1">
        <v>3</v>
      </c>
      <c r="F126" s="1" t="s">
        <v>137</v>
      </c>
      <c r="G126" s="1" t="s">
        <v>83</v>
      </c>
    </row>
    <row r="127" spans="1:7" x14ac:dyDescent="0.3">
      <c r="A127" s="48">
        <v>45477</v>
      </c>
      <c r="B127" s="1">
        <v>2024</v>
      </c>
      <c r="C127" s="1">
        <v>7</v>
      </c>
      <c r="D127" s="1" t="s">
        <v>142</v>
      </c>
      <c r="E127" s="1">
        <v>3</v>
      </c>
      <c r="F127" s="1" t="s">
        <v>138</v>
      </c>
      <c r="G127" s="1" t="s">
        <v>83</v>
      </c>
    </row>
    <row r="128" spans="1:7" x14ac:dyDescent="0.3">
      <c r="A128" s="48">
        <v>45478</v>
      </c>
      <c r="B128" s="1">
        <v>2024</v>
      </c>
      <c r="C128" s="1">
        <v>7</v>
      </c>
      <c r="D128" s="1" t="s">
        <v>142</v>
      </c>
      <c r="E128" s="1">
        <v>3</v>
      </c>
      <c r="F128" s="1" t="s">
        <v>131</v>
      </c>
      <c r="G128" s="1" t="s">
        <v>83</v>
      </c>
    </row>
    <row r="129" spans="1:7" x14ac:dyDescent="0.3">
      <c r="A129" s="48">
        <v>45479</v>
      </c>
      <c r="B129" s="1">
        <v>2024</v>
      </c>
      <c r="C129" s="1">
        <v>7</v>
      </c>
      <c r="D129" s="1" t="s">
        <v>142</v>
      </c>
      <c r="E129" s="1">
        <v>3</v>
      </c>
      <c r="F129" s="1" t="s">
        <v>132</v>
      </c>
      <c r="G129" s="1" t="s">
        <v>133</v>
      </c>
    </row>
    <row r="130" spans="1:7" x14ac:dyDescent="0.3">
      <c r="A130" s="48">
        <v>45480</v>
      </c>
      <c r="B130" s="1">
        <v>2024</v>
      </c>
      <c r="C130" s="1">
        <v>7</v>
      </c>
      <c r="D130" s="1" t="s">
        <v>142</v>
      </c>
      <c r="E130" s="1">
        <v>3</v>
      </c>
      <c r="F130" s="1" t="s">
        <v>134</v>
      </c>
      <c r="G130" s="1" t="s">
        <v>133</v>
      </c>
    </row>
    <row r="131" spans="1:7" x14ac:dyDescent="0.3">
      <c r="A131" s="48">
        <v>45481</v>
      </c>
      <c r="B131" s="1">
        <v>2024</v>
      </c>
      <c r="C131" s="1">
        <v>7</v>
      </c>
      <c r="D131" s="1" t="s">
        <v>142</v>
      </c>
      <c r="E131" s="1">
        <v>3</v>
      </c>
      <c r="F131" s="1" t="s">
        <v>135</v>
      </c>
      <c r="G131" s="1" t="s">
        <v>83</v>
      </c>
    </row>
    <row r="132" spans="1:7" x14ac:dyDescent="0.3">
      <c r="A132" s="48">
        <v>45482</v>
      </c>
      <c r="B132" s="1">
        <v>2024</v>
      </c>
      <c r="C132" s="1">
        <v>7</v>
      </c>
      <c r="D132" s="1" t="s">
        <v>142</v>
      </c>
      <c r="E132" s="1">
        <v>3</v>
      </c>
      <c r="F132" s="1" t="s">
        <v>136</v>
      </c>
      <c r="G132" s="1" t="s">
        <v>83</v>
      </c>
    </row>
    <row r="133" spans="1:7" x14ac:dyDescent="0.3">
      <c r="A133" s="48">
        <v>45483</v>
      </c>
      <c r="B133" s="1">
        <v>2024</v>
      </c>
      <c r="C133" s="1">
        <v>7</v>
      </c>
      <c r="D133" s="1" t="s">
        <v>142</v>
      </c>
      <c r="E133" s="1">
        <v>3</v>
      </c>
      <c r="F133" s="1" t="s">
        <v>137</v>
      </c>
      <c r="G133" s="1" t="s">
        <v>83</v>
      </c>
    </row>
    <row r="134" spans="1:7" x14ac:dyDescent="0.3">
      <c r="A134" s="48">
        <v>45484</v>
      </c>
      <c r="B134" s="1">
        <v>2024</v>
      </c>
      <c r="C134" s="1">
        <v>7</v>
      </c>
      <c r="D134" s="1" t="s">
        <v>142</v>
      </c>
      <c r="E134" s="1">
        <v>3</v>
      </c>
      <c r="F134" s="1" t="s">
        <v>138</v>
      </c>
      <c r="G134" s="1" t="s">
        <v>83</v>
      </c>
    </row>
    <row r="135" spans="1:7" x14ac:dyDescent="0.3">
      <c r="A135" s="48">
        <v>45485</v>
      </c>
      <c r="B135" s="1">
        <v>2024</v>
      </c>
      <c r="C135" s="1">
        <v>7</v>
      </c>
      <c r="D135" s="1" t="s">
        <v>142</v>
      </c>
      <c r="E135" s="1">
        <v>3</v>
      </c>
      <c r="F135" s="1" t="s">
        <v>131</v>
      </c>
      <c r="G135" s="1" t="s">
        <v>83</v>
      </c>
    </row>
    <row r="136" spans="1:7" x14ac:dyDescent="0.3">
      <c r="A136" s="48">
        <v>45486</v>
      </c>
      <c r="B136" s="1">
        <v>2024</v>
      </c>
      <c r="C136" s="1">
        <v>7</v>
      </c>
      <c r="D136" s="1" t="s">
        <v>142</v>
      </c>
      <c r="E136" s="1">
        <v>3</v>
      </c>
      <c r="F136" s="1" t="s">
        <v>132</v>
      </c>
      <c r="G136" s="1" t="s">
        <v>133</v>
      </c>
    </row>
    <row r="137" spans="1:7" x14ac:dyDescent="0.3">
      <c r="A137" s="48">
        <v>45487</v>
      </c>
      <c r="B137" s="1">
        <v>2024</v>
      </c>
      <c r="C137" s="1">
        <v>7</v>
      </c>
      <c r="D137" s="1" t="s">
        <v>142</v>
      </c>
      <c r="E137" s="1">
        <v>3</v>
      </c>
      <c r="F137" s="1" t="s">
        <v>134</v>
      </c>
      <c r="G137" s="1" t="s">
        <v>133</v>
      </c>
    </row>
    <row r="138" spans="1:7" x14ac:dyDescent="0.3">
      <c r="A138" s="48">
        <v>45488</v>
      </c>
      <c r="B138" s="1">
        <v>2024</v>
      </c>
      <c r="C138" s="1">
        <v>7</v>
      </c>
      <c r="D138" s="1" t="s">
        <v>142</v>
      </c>
      <c r="E138" s="1">
        <v>3</v>
      </c>
      <c r="F138" s="1" t="s">
        <v>135</v>
      </c>
      <c r="G138" s="1" t="s">
        <v>83</v>
      </c>
    </row>
    <row r="139" spans="1:7" x14ac:dyDescent="0.3">
      <c r="A139" s="48">
        <v>45489</v>
      </c>
      <c r="B139" s="1">
        <v>2024</v>
      </c>
      <c r="C139" s="1">
        <v>7</v>
      </c>
      <c r="D139" s="1" t="s">
        <v>142</v>
      </c>
      <c r="E139" s="1">
        <v>3</v>
      </c>
      <c r="F139" s="1" t="s">
        <v>136</v>
      </c>
      <c r="G139" s="1" t="s">
        <v>83</v>
      </c>
    </row>
    <row r="140" spans="1:7" x14ac:dyDescent="0.3">
      <c r="A140" s="48">
        <v>45490</v>
      </c>
      <c r="B140" s="1">
        <v>2024</v>
      </c>
      <c r="C140" s="1">
        <v>7</v>
      </c>
      <c r="D140" s="1" t="s">
        <v>142</v>
      </c>
      <c r="E140" s="1">
        <v>3</v>
      </c>
      <c r="F140" s="1" t="s">
        <v>137</v>
      </c>
      <c r="G140" s="1" t="s">
        <v>83</v>
      </c>
    </row>
    <row r="141" spans="1:7" x14ac:dyDescent="0.3">
      <c r="A141" s="48">
        <v>45491</v>
      </c>
      <c r="B141" s="1">
        <v>2024</v>
      </c>
      <c r="C141" s="1">
        <v>7</v>
      </c>
      <c r="D141" s="1" t="s">
        <v>142</v>
      </c>
      <c r="E141" s="1">
        <v>3</v>
      </c>
      <c r="F141" s="1" t="s">
        <v>138</v>
      </c>
      <c r="G141" s="1" t="s">
        <v>83</v>
      </c>
    </row>
    <row r="142" spans="1:7" x14ac:dyDescent="0.3">
      <c r="A142" s="48">
        <v>45492</v>
      </c>
      <c r="B142" s="1">
        <v>2024</v>
      </c>
      <c r="C142" s="1">
        <v>7</v>
      </c>
      <c r="D142" s="1" t="s">
        <v>142</v>
      </c>
      <c r="E142" s="1">
        <v>3</v>
      </c>
      <c r="F142" s="1" t="s">
        <v>131</v>
      </c>
      <c r="G142" s="1" t="s">
        <v>83</v>
      </c>
    </row>
    <row r="143" spans="1:7" x14ac:dyDescent="0.3">
      <c r="A143" s="48">
        <v>45493</v>
      </c>
      <c r="B143" s="1">
        <v>2024</v>
      </c>
      <c r="C143" s="1">
        <v>7</v>
      </c>
      <c r="D143" s="1" t="s">
        <v>142</v>
      </c>
      <c r="E143" s="1">
        <v>3</v>
      </c>
      <c r="F143" s="1" t="s">
        <v>132</v>
      </c>
      <c r="G143" s="1" t="s">
        <v>133</v>
      </c>
    </row>
    <row r="144" spans="1:7" x14ac:dyDescent="0.3">
      <c r="A144" s="48">
        <v>45494</v>
      </c>
      <c r="B144" s="1">
        <v>2024</v>
      </c>
      <c r="C144" s="1">
        <v>7</v>
      </c>
      <c r="D144" s="1" t="s">
        <v>142</v>
      </c>
      <c r="E144" s="1">
        <v>3</v>
      </c>
      <c r="F144" s="1" t="s">
        <v>134</v>
      </c>
      <c r="G144" s="1" t="s">
        <v>133</v>
      </c>
    </row>
    <row r="145" spans="1:7" x14ac:dyDescent="0.3">
      <c r="A145" s="48">
        <v>45495</v>
      </c>
      <c r="B145" s="1">
        <v>2024</v>
      </c>
      <c r="C145" s="1">
        <v>7</v>
      </c>
      <c r="D145" s="1" t="s">
        <v>142</v>
      </c>
      <c r="E145" s="1">
        <v>3</v>
      </c>
      <c r="F145" s="1" t="s">
        <v>135</v>
      </c>
      <c r="G145" s="1" t="s">
        <v>83</v>
      </c>
    </row>
    <row r="146" spans="1:7" x14ac:dyDescent="0.3">
      <c r="A146" s="48">
        <v>45496</v>
      </c>
      <c r="B146" s="1">
        <v>2024</v>
      </c>
      <c r="C146" s="1">
        <v>7</v>
      </c>
      <c r="D146" s="1" t="s">
        <v>142</v>
      </c>
      <c r="E146" s="1">
        <v>3</v>
      </c>
      <c r="F146" s="1" t="s">
        <v>136</v>
      </c>
      <c r="G146" s="1" t="s">
        <v>83</v>
      </c>
    </row>
    <row r="147" spans="1:7" x14ac:dyDescent="0.3">
      <c r="A147" s="48">
        <v>45497</v>
      </c>
      <c r="B147" s="1">
        <v>2024</v>
      </c>
      <c r="C147" s="1">
        <v>7</v>
      </c>
      <c r="D147" s="1" t="s">
        <v>142</v>
      </c>
      <c r="E147" s="1">
        <v>3</v>
      </c>
      <c r="F147" s="1" t="s">
        <v>137</v>
      </c>
      <c r="G147" s="1" t="s">
        <v>83</v>
      </c>
    </row>
    <row r="148" spans="1:7" x14ac:dyDescent="0.3">
      <c r="A148" s="48">
        <v>45498</v>
      </c>
      <c r="B148" s="1">
        <v>2024</v>
      </c>
      <c r="C148" s="1">
        <v>7</v>
      </c>
      <c r="D148" s="1" t="s">
        <v>142</v>
      </c>
      <c r="E148" s="1">
        <v>3</v>
      </c>
      <c r="F148" s="1" t="s">
        <v>138</v>
      </c>
      <c r="G148" s="1" t="s">
        <v>83</v>
      </c>
    </row>
    <row r="149" spans="1:7" x14ac:dyDescent="0.3">
      <c r="A149" s="48">
        <v>45499</v>
      </c>
      <c r="B149" s="1">
        <v>2024</v>
      </c>
      <c r="C149" s="1">
        <v>7</v>
      </c>
      <c r="D149" s="1" t="s">
        <v>142</v>
      </c>
      <c r="E149" s="1">
        <v>3</v>
      </c>
      <c r="F149" s="1" t="s">
        <v>131</v>
      </c>
      <c r="G149" s="1" t="s">
        <v>83</v>
      </c>
    </row>
    <row r="150" spans="1:7" x14ac:dyDescent="0.3">
      <c r="A150" s="48">
        <v>45500</v>
      </c>
      <c r="B150" s="1">
        <v>2024</v>
      </c>
      <c r="C150" s="1">
        <v>7</v>
      </c>
      <c r="D150" s="1" t="s">
        <v>142</v>
      </c>
      <c r="E150" s="1">
        <v>3</v>
      </c>
      <c r="F150" s="1" t="s">
        <v>132</v>
      </c>
      <c r="G150" s="1" t="s">
        <v>133</v>
      </c>
    </row>
    <row r="151" spans="1:7" x14ac:dyDescent="0.3">
      <c r="A151" s="48">
        <v>45501</v>
      </c>
      <c r="B151" s="1">
        <v>2024</v>
      </c>
      <c r="C151" s="1">
        <v>7</v>
      </c>
      <c r="D151" s="1" t="s">
        <v>142</v>
      </c>
      <c r="E151" s="1">
        <v>3</v>
      </c>
      <c r="F151" s="1" t="s">
        <v>134</v>
      </c>
      <c r="G151" s="1" t="s">
        <v>133</v>
      </c>
    </row>
    <row r="152" spans="1:7" x14ac:dyDescent="0.3">
      <c r="A152" s="48">
        <v>45502</v>
      </c>
      <c r="B152" s="1">
        <v>2024</v>
      </c>
      <c r="C152" s="1">
        <v>7</v>
      </c>
      <c r="D152" s="1" t="s">
        <v>142</v>
      </c>
      <c r="E152" s="1">
        <v>3</v>
      </c>
      <c r="F152" s="1" t="s">
        <v>135</v>
      </c>
      <c r="G152" s="1" t="s">
        <v>83</v>
      </c>
    </row>
    <row r="153" spans="1:7" x14ac:dyDescent="0.3">
      <c r="A153" s="48">
        <v>45503</v>
      </c>
      <c r="B153" s="1">
        <v>2024</v>
      </c>
      <c r="C153" s="1">
        <v>7</v>
      </c>
      <c r="D153" s="1" t="s">
        <v>142</v>
      </c>
      <c r="E153" s="1">
        <v>3</v>
      </c>
      <c r="F153" s="1" t="s">
        <v>136</v>
      </c>
      <c r="G153" s="1" t="s">
        <v>83</v>
      </c>
    </row>
    <row r="154" spans="1:7" x14ac:dyDescent="0.3">
      <c r="A154" s="48">
        <v>45504</v>
      </c>
      <c r="B154" s="1">
        <v>2024</v>
      </c>
      <c r="C154" s="1">
        <v>7</v>
      </c>
      <c r="D154" s="1" t="s">
        <v>142</v>
      </c>
      <c r="E154" s="1">
        <v>3</v>
      </c>
      <c r="F154" s="1" t="s">
        <v>137</v>
      </c>
      <c r="G154" s="1" t="s">
        <v>83</v>
      </c>
    </row>
    <row r="155" spans="1:7" x14ac:dyDescent="0.3">
      <c r="A155" s="48">
        <v>45505</v>
      </c>
      <c r="B155" s="1">
        <v>2024</v>
      </c>
      <c r="C155" s="1">
        <v>8</v>
      </c>
      <c r="D155" s="1" t="s">
        <v>143</v>
      </c>
      <c r="E155" s="1">
        <v>3</v>
      </c>
      <c r="F155" s="1" t="s">
        <v>138</v>
      </c>
      <c r="G155" s="1" t="s">
        <v>83</v>
      </c>
    </row>
    <row r="156" spans="1:7" x14ac:dyDescent="0.3">
      <c r="A156" s="48">
        <v>45506</v>
      </c>
      <c r="B156" s="1">
        <v>2024</v>
      </c>
      <c r="C156" s="1">
        <v>8</v>
      </c>
      <c r="D156" s="1" t="s">
        <v>143</v>
      </c>
      <c r="E156" s="1">
        <v>3</v>
      </c>
      <c r="F156" s="1" t="s">
        <v>131</v>
      </c>
      <c r="G156" s="1" t="s">
        <v>83</v>
      </c>
    </row>
    <row r="157" spans="1:7" x14ac:dyDescent="0.3">
      <c r="A157" s="48">
        <v>45507</v>
      </c>
      <c r="B157" s="1">
        <v>2024</v>
      </c>
      <c r="C157" s="1">
        <v>8</v>
      </c>
      <c r="D157" s="1" t="s">
        <v>143</v>
      </c>
      <c r="E157" s="1">
        <v>3</v>
      </c>
      <c r="F157" s="1" t="s">
        <v>132</v>
      </c>
      <c r="G157" s="1" t="s">
        <v>133</v>
      </c>
    </row>
    <row r="158" spans="1:7" x14ac:dyDescent="0.3">
      <c r="A158" s="48">
        <v>45508</v>
      </c>
      <c r="B158" s="1">
        <v>2024</v>
      </c>
      <c r="C158" s="1">
        <v>8</v>
      </c>
      <c r="D158" s="1" t="s">
        <v>143</v>
      </c>
      <c r="E158" s="1">
        <v>3</v>
      </c>
      <c r="F158" s="1" t="s">
        <v>134</v>
      </c>
      <c r="G158" s="1" t="s">
        <v>133</v>
      </c>
    </row>
    <row r="159" spans="1:7" x14ac:dyDescent="0.3">
      <c r="A159" s="48">
        <v>45509</v>
      </c>
      <c r="B159" s="1">
        <v>2024</v>
      </c>
      <c r="C159" s="1">
        <v>8</v>
      </c>
      <c r="D159" s="1" t="s">
        <v>143</v>
      </c>
      <c r="E159" s="1">
        <v>3</v>
      </c>
      <c r="F159" s="1" t="s">
        <v>135</v>
      </c>
      <c r="G159" s="1" t="s">
        <v>83</v>
      </c>
    </row>
    <row r="160" spans="1:7" x14ac:dyDescent="0.3">
      <c r="A160" s="48">
        <v>45510</v>
      </c>
      <c r="B160" s="1">
        <v>2024</v>
      </c>
      <c r="C160" s="1">
        <v>8</v>
      </c>
      <c r="D160" s="1" t="s">
        <v>143</v>
      </c>
      <c r="E160" s="1">
        <v>3</v>
      </c>
      <c r="F160" s="1" t="s">
        <v>136</v>
      </c>
      <c r="G160" s="1" t="s">
        <v>83</v>
      </c>
    </row>
    <row r="161" spans="1:7" x14ac:dyDescent="0.3">
      <c r="A161" s="48">
        <v>45511</v>
      </c>
      <c r="B161" s="1">
        <v>2024</v>
      </c>
      <c r="C161" s="1">
        <v>8</v>
      </c>
      <c r="D161" s="1" t="s">
        <v>143</v>
      </c>
      <c r="E161" s="1">
        <v>3</v>
      </c>
      <c r="F161" s="1" t="s">
        <v>137</v>
      </c>
      <c r="G161" s="1" t="s">
        <v>83</v>
      </c>
    </row>
    <row r="162" spans="1:7" x14ac:dyDescent="0.3">
      <c r="A162" s="48">
        <v>45512</v>
      </c>
      <c r="B162" s="1">
        <v>2024</v>
      </c>
      <c r="C162" s="1">
        <v>8</v>
      </c>
      <c r="D162" s="1" t="s">
        <v>143</v>
      </c>
      <c r="E162" s="1">
        <v>3</v>
      </c>
      <c r="F162" s="1" t="s">
        <v>138</v>
      </c>
      <c r="G162" s="1" t="s">
        <v>83</v>
      </c>
    </row>
    <row r="163" spans="1:7" x14ac:dyDescent="0.3">
      <c r="A163" s="48">
        <v>45513</v>
      </c>
      <c r="B163" s="1">
        <v>2024</v>
      </c>
      <c r="C163" s="1">
        <v>8</v>
      </c>
      <c r="D163" s="1" t="s">
        <v>143</v>
      </c>
      <c r="E163" s="1">
        <v>3</v>
      </c>
      <c r="F163" s="1" t="s">
        <v>131</v>
      </c>
      <c r="G163" s="1" t="s">
        <v>83</v>
      </c>
    </row>
    <row r="164" spans="1:7" x14ac:dyDescent="0.3">
      <c r="A164" s="48">
        <v>45514</v>
      </c>
      <c r="B164" s="1">
        <v>2024</v>
      </c>
      <c r="C164" s="1">
        <v>8</v>
      </c>
      <c r="D164" s="1" t="s">
        <v>143</v>
      </c>
      <c r="E164" s="1">
        <v>3</v>
      </c>
      <c r="F164" s="1" t="s">
        <v>132</v>
      </c>
      <c r="G164" s="1" t="s">
        <v>133</v>
      </c>
    </row>
    <row r="165" spans="1:7" x14ac:dyDescent="0.3">
      <c r="A165" s="48">
        <v>45515</v>
      </c>
      <c r="B165" s="1">
        <v>2024</v>
      </c>
      <c r="C165" s="1">
        <v>8</v>
      </c>
      <c r="D165" s="1" t="s">
        <v>143</v>
      </c>
      <c r="E165" s="1">
        <v>3</v>
      </c>
      <c r="F165" s="1" t="s">
        <v>134</v>
      </c>
      <c r="G165" s="1" t="s">
        <v>133</v>
      </c>
    </row>
    <row r="166" spans="1:7" x14ac:dyDescent="0.3">
      <c r="A166" s="48">
        <v>45516</v>
      </c>
      <c r="B166" s="1">
        <v>2024</v>
      </c>
      <c r="C166" s="1">
        <v>8</v>
      </c>
      <c r="D166" s="1" t="s">
        <v>143</v>
      </c>
      <c r="E166" s="1">
        <v>3</v>
      </c>
      <c r="F166" s="1" t="s">
        <v>135</v>
      </c>
      <c r="G166" s="1" t="s">
        <v>83</v>
      </c>
    </row>
    <row r="167" spans="1:7" x14ac:dyDescent="0.3">
      <c r="A167" s="48">
        <v>45517</v>
      </c>
      <c r="B167" s="1">
        <v>2024</v>
      </c>
      <c r="C167" s="1">
        <v>8</v>
      </c>
      <c r="D167" s="1" t="s">
        <v>143</v>
      </c>
      <c r="E167" s="1">
        <v>3</v>
      </c>
      <c r="F167" s="1" t="s">
        <v>136</v>
      </c>
      <c r="G167" s="1" t="s">
        <v>83</v>
      </c>
    </row>
    <row r="168" spans="1:7" x14ac:dyDescent="0.3">
      <c r="A168" s="48">
        <v>45518</v>
      </c>
      <c r="B168" s="1">
        <v>2024</v>
      </c>
      <c r="C168" s="1">
        <v>8</v>
      </c>
      <c r="D168" s="1" t="s">
        <v>143</v>
      </c>
      <c r="E168" s="1">
        <v>3</v>
      </c>
      <c r="F168" s="1" t="s">
        <v>137</v>
      </c>
      <c r="G168" s="1" t="s">
        <v>83</v>
      </c>
    </row>
    <row r="169" spans="1:7" x14ac:dyDescent="0.3">
      <c r="A169" s="48">
        <v>45519</v>
      </c>
      <c r="B169" s="1">
        <v>2024</v>
      </c>
      <c r="C169" s="1">
        <v>8</v>
      </c>
      <c r="D169" s="1" t="s">
        <v>143</v>
      </c>
      <c r="E169" s="1">
        <v>3</v>
      </c>
      <c r="F169" s="1" t="s">
        <v>138</v>
      </c>
      <c r="G169" s="1" t="s">
        <v>83</v>
      </c>
    </row>
    <row r="170" spans="1:7" x14ac:dyDescent="0.3">
      <c r="A170" s="48">
        <v>45520</v>
      </c>
      <c r="B170" s="1">
        <v>2024</v>
      </c>
      <c r="C170" s="1">
        <v>8</v>
      </c>
      <c r="D170" s="1" t="s">
        <v>143</v>
      </c>
      <c r="E170" s="1">
        <v>3</v>
      </c>
      <c r="F170" s="1" t="s">
        <v>131</v>
      </c>
      <c r="G170" s="1" t="s">
        <v>83</v>
      </c>
    </row>
    <row r="171" spans="1:7" x14ac:dyDescent="0.3">
      <c r="A171" s="48">
        <v>45521</v>
      </c>
      <c r="B171" s="1">
        <v>2024</v>
      </c>
      <c r="C171" s="1">
        <v>8</v>
      </c>
      <c r="D171" s="1" t="s">
        <v>143</v>
      </c>
      <c r="E171" s="1">
        <v>3</v>
      </c>
      <c r="F171" s="1" t="s">
        <v>132</v>
      </c>
      <c r="G171" s="1" t="s">
        <v>133</v>
      </c>
    </row>
    <row r="172" spans="1:7" x14ac:dyDescent="0.3">
      <c r="A172" s="48">
        <v>45522</v>
      </c>
      <c r="B172" s="1">
        <v>2024</v>
      </c>
      <c r="C172" s="1">
        <v>8</v>
      </c>
      <c r="D172" s="1" t="s">
        <v>143</v>
      </c>
      <c r="E172" s="1">
        <v>3</v>
      </c>
      <c r="F172" s="1" t="s">
        <v>134</v>
      </c>
      <c r="G172" s="1" t="s">
        <v>133</v>
      </c>
    </row>
    <row r="173" spans="1:7" x14ac:dyDescent="0.3">
      <c r="A173" s="48">
        <v>45523</v>
      </c>
      <c r="B173" s="1">
        <v>2024</v>
      </c>
      <c r="C173" s="1">
        <v>8</v>
      </c>
      <c r="D173" s="1" t="s">
        <v>143</v>
      </c>
      <c r="E173" s="1">
        <v>3</v>
      </c>
      <c r="F173" s="1" t="s">
        <v>135</v>
      </c>
      <c r="G173" s="1" t="s">
        <v>83</v>
      </c>
    </row>
    <row r="174" spans="1:7" x14ac:dyDescent="0.3">
      <c r="A174" s="48">
        <v>45524</v>
      </c>
      <c r="B174" s="1">
        <v>2024</v>
      </c>
      <c r="C174" s="1">
        <v>8</v>
      </c>
      <c r="D174" s="1" t="s">
        <v>143</v>
      </c>
      <c r="E174" s="1">
        <v>3</v>
      </c>
      <c r="F174" s="1" t="s">
        <v>136</v>
      </c>
      <c r="G174" s="1" t="s">
        <v>83</v>
      </c>
    </row>
    <row r="175" spans="1:7" x14ac:dyDescent="0.3">
      <c r="A175" s="48">
        <v>45525</v>
      </c>
      <c r="B175" s="1">
        <v>2024</v>
      </c>
      <c r="C175" s="1">
        <v>8</v>
      </c>
      <c r="D175" s="1" t="s">
        <v>143</v>
      </c>
      <c r="E175" s="1">
        <v>3</v>
      </c>
      <c r="F175" s="1" t="s">
        <v>137</v>
      </c>
      <c r="G175" s="1" t="s">
        <v>83</v>
      </c>
    </row>
    <row r="176" spans="1:7" x14ac:dyDescent="0.3">
      <c r="A176" s="48">
        <v>45526</v>
      </c>
      <c r="B176" s="1">
        <v>2024</v>
      </c>
      <c r="C176" s="1">
        <v>8</v>
      </c>
      <c r="D176" s="1" t="s">
        <v>143</v>
      </c>
      <c r="E176" s="1">
        <v>3</v>
      </c>
      <c r="F176" s="1" t="s">
        <v>138</v>
      </c>
      <c r="G176" s="1" t="s">
        <v>83</v>
      </c>
    </row>
    <row r="177" spans="1:7" x14ac:dyDescent="0.3">
      <c r="A177" s="48">
        <v>45527</v>
      </c>
      <c r="B177" s="1">
        <v>2024</v>
      </c>
      <c r="C177" s="1">
        <v>8</v>
      </c>
      <c r="D177" s="1" t="s">
        <v>143</v>
      </c>
      <c r="E177" s="1">
        <v>3</v>
      </c>
      <c r="F177" s="1" t="s">
        <v>131</v>
      </c>
      <c r="G177" s="1" t="s">
        <v>83</v>
      </c>
    </row>
    <row r="178" spans="1:7" x14ac:dyDescent="0.3">
      <c r="A178" s="48">
        <v>45528</v>
      </c>
      <c r="B178" s="1">
        <v>2024</v>
      </c>
      <c r="C178" s="1">
        <v>8</v>
      </c>
      <c r="D178" s="1" t="s">
        <v>143</v>
      </c>
      <c r="E178" s="1">
        <v>3</v>
      </c>
      <c r="F178" s="1" t="s">
        <v>132</v>
      </c>
      <c r="G178" s="1" t="s">
        <v>133</v>
      </c>
    </row>
    <row r="179" spans="1:7" x14ac:dyDescent="0.3">
      <c r="A179" s="48">
        <v>45529</v>
      </c>
      <c r="B179" s="1">
        <v>2024</v>
      </c>
      <c r="C179" s="1">
        <v>8</v>
      </c>
      <c r="D179" s="1" t="s">
        <v>143</v>
      </c>
      <c r="E179" s="1">
        <v>3</v>
      </c>
      <c r="F179" s="1" t="s">
        <v>134</v>
      </c>
      <c r="G179" s="1" t="s">
        <v>133</v>
      </c>
    </row>
    <row r="180" spans="1:7" x14ac:dyDescent="0.3">
      <c r="A180" s="48">
        <v>45530</v>
      </c>
      <c r="B180" s="1">
        <v>2024</v>
      </c>
      <c r="C180" s="1">
        <v>8</v>
      </c>
      <c r="D180" s="1" t="s">
        <v>143</v>
      </c>
      <c r="E180" s="1">
        <v>3</v>
      </c>
      <c r="F180" s="1" t="s">
        <v>135</v>
      </c>
      <c r="G180" s="1" t="s">
        <v>83</v>
      </c>
    </row>
    <row r="181" spans="1:7" x14ac:dyDescent="0.3">
      <c r="A181" s="48">
        <v>45531</v>
      </c>
      <c r="B181" s="1">
        <v>2024</v>
      </c>
      <c r="C181" s="1">
        <v>8</v>
      </c>
      <c r="D181" s="1" t="s">
        <v>143</v>
      </c>
      <c r="E181" s="1">
        <v>3</v>
      </c>
      <c r="F181" s="1" t="s">
        <v>136</v>
      </c>
      <c r="G181" s="1" t="s">
        <v>83</v>
      </c>
    </row>
    <row r="182" spans="1:7" x14ac:dyDescent="0.3">
      <c r="A182" s="48">
        <v>45532</v>
      </c>
      <c r="B182" s="1">
        <v>2024</v>
      </c>
      <c r="C182" s="1">
        <v>8</v>
      </c>
      <c r="D182" s="1" t="s">
        <v>143</v>
      </c>
      <c r="E182" s="1">
        <v>3</v>
      </c>
      <c r="F182" s="1" t="s">
        <v>137</v>
      </c>
      <c r="G182" s="1" t="s">
        <v>83</v>
      </c>
    </row>
    <row r="183" spans="1:7" x14ac:dyDescent="0.3">
      <c r="A183" s="48">
        <v>45533</v>
      </c>
      <c r="B183" s="1">
        <v>2024</v>
      </c>
      <c r="C183" s="1">
        <v>8</v>
      </c>
      <c r="D183" s="1" t="s">
        <v>143</v>
      </c>
      <c r="E183" s="1">
        <v>3</v>
      </c>
      <c r="F183" s="1" t="s">
        <v>138</v>
      </c>
      <c r="G183" s="1" t="s">
        <v>83</v>
      </c>
    </row>
    <row r="184" spans="1:7" x14ac:dyDescent="0.3">
      <c r="A184" s="48">
        <v>45534</v>
      </c>
      <c r="B184" s="1">
        <v>2024</v>
      </c>
      <c r="C184" s="1">
        <v>8</v>
      </c>
      <c r="D184" s="1" t="s">
        <v>143</v>
      </c>
      <c r="E184" s="1">
        <v>3</v>
      </c>
      <c r="F184" s="1" t="s">
        <v>131</v>
      </c>
      <c r="G184" s="1" t="s">
        <v>83</v>
      </c>
    </row>
    <row r="185" spans="1:7" x14ac:dyDescent="0.3">
      <c r="A185" s="48">
        <v>45535</v>
      </c>
      <c r="B185" s="1">
        <v>2024</v>
      </c>
      <c r="C185" s="1">
        <v>8</v>
      </c>
      <c r="D185" s="1" t="s">
        <v>143</v>
      </c>
      <c r="E185" s="1">
        <v>3</v>
      </c>
      <c r="F185" s="1" t="s">
        <v>132</v>
      </c>
      <c r="G185" s="1" t="s">
        <v>133</v>
      </c>
    </row>
    <row r="186" spans="1:7" x14ac:dyDescent="0.3">
      <c r="A186" s="48">
        <v>45536</v>
      </c>
      <c r="B186" s="1">
        <v>2024</v>
      </c>
      <c r="C186" s="1">
        <v>9</v>
      </c>
      <c r="D186" s="1" t="s">
        <v>144</v>
      </c>
      <c r="E186" s="1">
        <v>3</v>
      </c>
      <c r="F186" s="1" t="s">
        <v>134</v>
      </c>
      <c r="G186" s="1" t="s">
        <v>133</v>
      </c>
    </row>
    <row r="187" spans="1:7" x14ac:dyDescent="0.3">
      <c r="A187" s="48">
        <v>45537</v>
      </c>
      <c r="B187" s="1">
        <v>2024</v>
      </c>
      <c r="C187" s="1">
        <v>9</v>
      </c>
      <c r="D187" s="1" t="s">
        <v>144</v>
      </c>
      <c r="E187" s="1">
        <v>3</v>
      </c>
      <c r="F187" s="1" t="s">
        <v>135</v>
      </c>
      <c r="G187" s="1" t="s">
        <v>83</v>
      </c>
    </row>
    <row r="188" spans="1:7" x14ac:dyDescent="0.3">
      <c r="A188" s="48">
        <v>45538</v>
      </c>
      <c r="B188" s="1">
        <v>2024</v>
      </c>
      <c r="C188" s="1">
        <v>9</v>
      </c>
      <c r="D188" s="1" t="s">
        <v>144</v>
      </c>
      <c r="E188" s="1">
        <v>3</v>
      </c>
      <c r="F188" s="1" t="s">
        <v>136</v>
      </c>
      <c r="G188" s="1" t="s">
        <v>83</v>
      </c>
    </row>
    <row r="189" spans="1:7" x14ac:dyDescent="0.3">
      <c r="A189" s="48">
        <v>45539</v>
      </c>
      <c r="B189" s="1">
        <v>2024</v>
      </c>
      <c r="C189" s="1">
        <v>9</v>
      </c>
      <c r="D189" s="1" t="s">
        <v>144</v>
      </c>
      <c r="E189" s="1">
        <v>3</v>
      </c>
      <c r="F189" s="1" t="s">
        <v>137</v>
      </c>
      <c r="G189" s="1" t="s">
        <v>83</v>
      </c>
    </row>
    <row r="190" spans="1:7" x14ac:dyDescent="0.3">
      <c r="A190" s="48">
        <v>45540</v>
      </c>
      <c r="B190" s="1">
        <v>2024</v>
      </c>
      <c r="C190" s="1">
        <v>9</v>
      </c>
      <c r="D190" s="1" t="s">
        <v>144</v>
      </c>
      <c r="E190" s="1">
        <v>3</v>
      </c>
      <c r="F190" s="1" t="s">
        <v>138</v>
      </c>
      <c r="G190" s="1" t="s">
        <v>83</v>
      </c>
    </row>
    <row r="191" spans="1:7" x14ac:dyDescent="0.3">
      <c r="A191" s="48">
        <v>45541</v>
      </c>
      <c r="B191" s="1">
        <v>2024</v>
      </c>
      <c r="C191" s="1">
        <v>9</v>
      </c>
      <c r="D191" s="1" t="s">
        <v>144</v>
      </c>
      <c r="E191" s="1">
        <v>3</v>
      </c>
      <c r="F191" s="1" t="s">
        <v>131</v>
      </c>
      <c r="G191" s="1" t="s">
        <v>83</v>
      </c>
    </row>
    <row r="192" spans="1:7" x14ac:dyDescent="0.3">
      <c r="A192" s="48">
        <v>45542</v>
      </c>
      <c r="B192" s="1">
        <v>2024</v>
      </c>
      <c r="C192" s="1">
        <v>9</v>
      </c>
      <c r="D192" s="1" t="s">
        <v>144</v>
      </c>
      <c r="E192" s="1">
        <v>3</v>
      </c>
      <c r="F192" s="1" t="s">
        <v>132</v>
      </c>
      <c r="G192" s="1" t="s">
        <v>133</v>
      </c>
    </row>
    <row r="193" spans="1:7" x14ac:dyDescent="0.3">
      <c r="A193" s="48">
        <v>45543</v>
      </c>
      <c r="B193" s="1">
        <v>2024</v>
      </c>
      <c r="C193" s="1">
        <v>9</v>
      </c>
      <c r="D193" s="1" t="s">
        <v>144</v>
      </c>
      <c r="E193" s="1">
        <v>3</v>
      </c>
      <c r="F193" s="1" t="s">
        <v>134</v>
      </c>
      <c r="G193" s="1" t="s">
        <v>133</v>
      </c>
    </row>
    <row r="194" spans="1:7" x14ac:dyDescent="0.3">
      <c r="A194" s="48">
        <v>45544</v>
      </c>
      <c r="B194" s="1">
        <v>2024</v>
      </c>
      <c r="C194" s="1">
        <v>9</v>
      </c>
      <c r="D194" s="1" t="s">
        <v>144</v>
      </c>
      <c r="E194" s="1">
        <v>3</v>
      </c>
      <c r="F194" s="1" t="s">
        <v>135</v>
      </c>
      <c r="G194" s="1" t="s">
        <v>83</v>
      </c>
    </row>
    <row r="195" spans="1:7" x14ac:dyDescent="0.3">
      <c r="A195" s="48">
        <v>45545</v>
      </c>
      <c r="B195" s="1">
        <v>2024</v>
      </c>
      <c r="C195" s="1">
        <v>9</v>
      </c>
      <c r="D195" s="1" t="s">
        <v>144</v>
      </c>
      <c r="E195" s="1">
        <v>3</v>
      </c>
      <c r="F195" s="1" t="s">
        <v>136</v>
      </c>
      <c r="G195" s="1" t="s">
        <v>83</v>
      </c>
    </row>
    <row r="196" spans="1:7" x14ac:dyDescent="0.3">
      <c r="A196" s="48">
        <v>45546</v>
      </c>
      <c r="B196" s="1">
        <v>2024</v>
      </c>
      <c r="C196" s="1">
        <v>9</v>
      </c>
      <c r="D196" s="1" t="s">
        <v>144</v>
      </c>
      <c r="E196" s="1">
        <v>3</v>
      </c>
      <c r="F196" s="1" t="s">
        <v>137</v>
      </c>
      <c r="G196" s="1" t="s">
        <v>83</v>
      </c>
    </row>
    <row r="197" spans="1:7" x14ac:dyDescent="0.3">
      <c r="A197" s="48">
        <v>45547</v>
      </c>
      <c r="B197" s="1">
        <v>2024</v>
      </c>
      <c r="C197" s="1">
        <v>9</v>
      </c>
      <c r="D197" s="1" t="s">
        <v>144</v>
      </c>
      <c r="E197" s="1">
        <v>3</v>
      </c>
      <c r="F197" s="1" t="s">
        <v>138</v>
      </c>
      <c r="G197" s="1" t="s">
        <v>83</v>
      </c>
    </row>
    <row r="198" spans="1:7" x14ac:dyDescent="0.3">
      <c r="A198" s="48">
        <v>45548</v>
      </c>
      <c r="B198" s="1">
        <v>2024</v>
      </c>
      <c r="C198" s="1">
        <v>9</v>
      </c>
      <c r="D198" s="1" t="s">
        <v>144</v>
      </c>
      <c r="E198" s="1">
        <v>3</v>
      </c>
      <c r="F198" s="1" t="s">
        <v>131</v>
      </c>
      <c r="G198" s="1" t="s">
        <v>83</v>
      </c>
    </row>
    <row r="199" spans="1:7" x14ac:dyDescent="0.3">
      <c r="A199" s="48">
        <v>45549</v>
      </c>
      <c r="B199" s="1">
        <v>2024</v>
      </c>
      <c r="C199" s="1">
        <v>9</v>
      </c>
      <c r="D199" s="1" t="s">
        <v>144</v>
      </c>
      <c r="E199" s="1">
        <v>3</v>
      </c>
      <c r="F199" s="1" t="s">
        <v>132</v>
      </c>
      <c r="G199" s="1" t="s">
        <v>133</v>
      </c>
    </row>
    <row r="200" spans="1:7" x14ac:dyDescent="0.3">
      <c r="A200" s="48">
        <v>45550</v>
      </c>
      <c r="B200" s="1">
        <v>2024</v>
      </c>
      <c r="C200" s="1">
        <v>9</v>
      </c>
      <c r="D200" s="1" t="s">
        <v>144</v>
      </c>
      <c r="E200" s="1">
        <v>3</v>
      </c>
      <c r="F200" s="1" t="s">
        <v>134</v>
      </c>
      <c r="G200" s="1" t="s">
        <v>133</v>
      </c>
    </row>
    <row r="201" spans="1:7" x14ac:dyDescent="0.3">
      <c r="A201" s="48">
        <v>45551</v>
      </c>
      <c r="B201" s="1">
        <v>2024</v>
      </c>
      <c r="C201" s="1">
        <v>9</v>
      </c>
      <c r="D201" s="1" t="s">
        <v>144</v>
      </c>
      <c r="E201" s="1">
        <v>3</v>
      </c>
      <c r="F201" s="1" t="s">
        <v>135</v>
      </c>
      <c r="G201" s="1" t="s">
        <v>83</v>
      </c>
    </row>
    <row r="202" spans="1:7" x14ac:dyDescent="0.3">
      <c r="A202" s="48">
        <v>45552</v>
      </c>
      <c r="B202" s="1">
        <v>2024</v>
      </c>
      <c r="C202" s="1">
        <v>9</v>
      </c>
      <c r="D202" s="1" t="s">
        <v>144</v>
      </c>
      <c r="E202" s="1">
        <v>3</v>
      </c>
      <c r="F202" s="1" t="s">
        <v>136</v>
      </c>
      <c r="G202" s="1" t="s">
        <v>83</v>
      </c>
    </row>
    <row r="203" spans="1:7" x14ac:dyDescent="0.3">
      <c r="A203" s="48">
        <v>45553</v>
      </c>
      <c r="B203" s="1">
        <v>2024</v>
      </c>
      <c r="C203" s="1">
        <v>9</v>
      </c>
      <c r="D203" s="1" t="s">
        <v>144</v>
      </c>
      <c r="E203" s="1">
        <v>3</v>
      </c>
      <c r="F203" s="1" t="s">
        <v>137</v>
      </c>
      <c r="G203" s="1" t="s">
        <v>83</v>
      </c>
    </row>
    <row r="204" spans="1:7" x14ac:dyDescent="0.3">
      <c r="A204" s="48">
        <v>45554</v>
      </c>
      <c r="B204" s="1">
        <v>2024</v>
      </c>
      <c r="C204" s="1">
        <v>9</v>
      </c>
      <c r="D204" s="1" t="s">
        <v>144</v>
      </c>
      <c r="E204" s="1">
        <v>3</v>
      </c>
      <c r="F204" s="1" t="s">
        <v>138</v>
      </c>
      <c r="G204" s="1" t="s">
        <v>83</v>
      </c>
    </row>
    <row r="205" spans="1:7" x14ac:dyDescent="0.3">
      <c r="A205" s="48">
        <v>45555</v>
      </c>
      <c r="B205" s="1">
        <v>2024</v>
      </c>
      <c r="C205" s="1">
        <v>9</v>
      </c>
      <c r="D205" s="1" t="s">
        <v>144</v>
      </c>
      <c r="E205" s="1">
        <v>3</v>
      </c>
      <c r="F205" s="1" t="s">
        <v>131</v>
      </c>
      <c r="G205" s="1" t="s">
        <v>83</v>
      </c>
    </row>
    <row r="206" spans="1:7" x14ac:dyDescent="0.3">
      <c r="A206" s="48">
        <v>45556</v>
      </c>
      <c r="B206" s="1">
        <v>2024</v>
      </c>
      <c r="C206" s="1">
        <v>9</v>
      </c>
      <c r="D206" s="1" t="s">
        <v>144</v>
      </c>
      <c r="E206" s="1">
        <v>3</v>
      </c>
      <c r="F206" s="1" t="s">
        <v>132</v>
      </c>
      <c r="G206" s="1" t="s">
        <v>133</v>
      </c>
    </row>
    <row r="207" spans="1:7" x14ac:dyDescent="0.3">
      <c r="A207" s="48">
        <v>45557</v>
      </c>
      <c r="B207" s="1">
        <v>2024</v>
      </c>
      <c r="C207" s="1">
        <v>9</v>
      </c>
      <c r="D207" s="1" t="s">
        <v>144</v>
      </c>
      <c r="E207" s="1">
        <v>3</v>
      </c>
      <c r="F207" s="1" t="s">
        <v>134</v>
      </c>
      <c r="G207" s="1" t="s">
        <v>133</v>
      </c>
    </row>
    <row r="208" spans="1:7" x14ac:dyDescent="0.3">
      <c r="A208" s="48">
        <v>45558</v>
      </c>
      <c r="B208" s="1">
        <v>2024</v>
      </c>
      <c r="C208" s="1">
        <v>9</v>
      </c>
      <c r="D208" s="1" t="s">
        <v>144</v>
      </c>
      <c r="E208" s="1">
        <v>3</v>
      </c>
      <c r="F208" s="1" t="s">
        <v>135</v>
      </c>
      <c r="G208" s="1" t="s">
        <v>83</v>
      </c>
    </row>
    <row r="209" spans="1:7" x14ac:dyDescent="0.3">
      <c r="A209" s="48">
        <v>45559</v>
      </c>
      <c r="B209" s="1">
        <v>2024</v>
      </c>
      <c r="C209" s="1">
        <v>9</v>
      </c>
      <c r="D209" s="1" t="s">
        <v>144</v>
      </c>
      <c r="E209" s="1">
        <v>3</v>
      </c>
      <c r="F209" s="1" t="s">
        <v>136</v>
      </c>
      <c r="G209" s="1" t="s">
        <v>83</v>
      </c>
    </row>
    <row r="210" spans="1:7" x14ac:dyDescent="0.3">
      <c r="A210" s="48">
        <v>45560</v>
      </c>
      <c r="B210" s="1">
        <v>2024</v>
      </c>
      <c r="C210" s="1">
        <v>9</v>
      </c>
      <c r="D210" s="1" t="s">
        <v>144</v>
      </c>
      <c r="E210" s="1">
        <v>3</v>
      </c>
      <c r="F210" s="1" t="s">
        <v>137</v>
      </c>
      <c r="G210" s="1" t="s">
        <v>83</v>
      </c>
    </row>
    <row r="211" spans="1:7" x14ac:dyDescent="0.3">
      <c r="A211" s="48">
        <v>45561</v>
      </c>
      <c r="B211" s="1">
        <v>2024</v>
      </c>
      <c r="C211" s="1">
        <v>9</v>
      </c>
      <c r="D211" s="1" t="s">
        <v>144</v>
      </c>
      <c r="E211" s="1">
        <v>3</v>
      </c>
      <c r="F211" s="1" t="s">
        <v>138</v>
      </c>
      <c r="G211" s="1" t="s">
        <v>83</v>
      </c>
    </row>
    <row r="212" spans="1:7" x14ac:dyDescent="0.3">
      <c r="A212" s="48">
        <v>45562</v>
      </c>
      <c r="B212" s="1">
        <v>2024</v>
      </c>
      <c r="C212" s="1">
        <v>9</v>
      </c>
      <c r="D212" s="1" t="s">
        <v>144</v>
      </c>
      <c r="E212" s="1">
        <v>3</v>
      </c>
      <c r="F212" s="1" t="s">
        <v>131</v>
      </c>
      <c r="G212" s="1" t="s">
        <v>83</v>
      </c>
    </row>
    <row r="213" spans="1:7" x14ac:dyDescent="0.3">
      <c r="A213" s="48">
        <v>45563</v>
      </c>
      <c r="B213" s="1">
        <v>2024</v>
      </c>
      <c r="C213" s="1">
        <v>9</v>
      </c>
      <c r="D213" s="1" t="s">
        <v>144</v>
      </c>
      <c r="E213" s="1">
        <v>3</v>
      </c>
      <c r="F213" s="1" t="s">
        <v>132</v>
      </c>
      <c r="G213" s="1" t="s">
        <v>133</v>
      </c>
    </row>
    <row r="214" spans="1:7" x14ac:dyDescent="0.3">
      <c r="A214" s="48">
        <v>45564</v>
      </c>
      <c r="B214" s="1">
        <v>2024</v>
      </c>
      <c r="C214" s="1">
        <v>9</v>
      </c>
      <c r="D214" s="1" t="s">
        <v>144</v>
      </c>
      <c r="E214" s="1">
        <v>3</v>
      </c>
      <c r="F214" s="1" t="s">
        <v>134</v>
      </c>
      <c r="G214" s="1" t="s">
        <v>133</v>
      </c>
    </row>
    <row r="215" spans="1:7" x14ac:dyDescent="0.3">
      <c r="A215" s="48">
        <v>45565</v>
      </c>
      <c r="B215" s="1">
        <v>2024</v>
      </c>
      <c r="C215" s="1">
        <v>9</v>
      </c>
      <c r="D215" s="1" t="s">
        <v>144</v>
      </c>
      <c r="E215" s="1">
        <v>3</v>
      </c>
      <c r="F215" s="1" t="s">
        <v>135</v>
      </c>
      <c r="G215" s="1" t="s">
        <v>83</v>
      </c>
    </row>
    <row r="216" spans="1:7" x14ac:dyDescent="0.3">
      <c r="A216" s="48">
        <v>45566</v>
      </c>
      <c r="B216" s="1">
        <v>2024</v>
      </c>
      <c r="C216" s="1">
        <v>10</v>
      </c>
      <c r="D216" s="1" t="s">
        <v>145</v>
      </c>
      <c r="E216" s="1">
        <v>4</v>
      </c>
      <c r="F216" s="1" t="s">
        <v>136</v>
      </c>
      <c r="G216" s="1" t="s">
        <v>83</v>
      </c>
    </row>
    <row r="217" spans="1:7" x14ac:dyDescent="0.3">
      <c r="A217" s="48">
        <v>45567</v>
      </c>
      <c r="B217" s="1">
        <v>2024</v>
      </c>
      <c r="C217" s="1">
        <v>10</v>
      </c>
      <c r="D217" s="1" t="s">
        <v>145</v>
      </c>
      <c r="E217" s="1">
        <v>4</v>
      </c>
      <c r="F217" s="1" t="s">
        <v>137</v>
      </c>
      <c r="G217" s="1" t="s">
        <v>83</v>
      </c>
    </row>
    <row r="218" spans="1:7" x14ac:dyDescent="0.3">
      <c r="A218" s="48">
        <v>45568</v>
      </c>
      <c r="B218" s="1">
        <v>2024</v>
      </c>
      <c r="C218" s="1">
        <v>10</v>
      </c>
      <c r="D218" s="1" t="s">
        <v>145</v>
      </c>
      <c r="E218" s="1">
        <v>4</v>
      </c>
      <c r="F218" s="1" t="s">
        <v>138</v>
      </c>
      <c r="G218" s="1" t="s">
        <v>83</v>
      </c>
    </row>
    <row r="219" spans="1:7" x14ac:dyDescent="0.3">
      <c r="A219" s="48">
        <v>45569</v>
      </c>
      <c r="B219" s="1">
        <v>2024</v>
      </c>
      <c r="C219" s="1">
        <v>10</v>
      </c>
      <c r="D219" s="1" t="s">
        <v>145</v>
      </c>
      <c r="E219" s="1">
        <v>4</v>
      </c>
      <c r="F219" s="1" t="s">
        <v>131</v>
      </c>
      <c r="G219" s="1" t="s">
        <v>83</v>
      </c>
    </row>
    <row r="220" spans="1:7" x14ac:dyDescent="0.3">
      <c r="A220" s="48">
        <v>45570</v>
      </c>
      <c r="B220" s="1">
        <v>2024</v>
      </c>
      <c r="C220" s="1">
        <v>10</v>
      </c>
      <c r="D220" s="1" t="s">
        <v>145</v>
      </c>
      <c r="E220" s="1">
        <v>4</v>
      </c>
      <c r="F220" s="1" t="s">
        <v>132</v>
      </c>
      <c r="G220" s="1" t="s">
        <v>133</v>
      </c>
    </row>
    <row r="221" spans="1:7" x14ac:dyDescent="0.3">
      <c r="A221" s="48">
        <v>45571</v>
      </c>
      <c r="B221" s="1">
        <v>2024</v>
      </c>
      <c r="C221" s="1">
        <v>10</v>
      </c>
      <c r="D221" s="1" t="s">
        <v>145</v>
      </c>
      <c r="E221" s="1">
        <v>4</v>
      </c>
      <c r="F221" s="1" t="s">
        <v>134</v>
      </c>
      <c r="G221" s="1" t="s">
        <v>133</v>
      </c>
    </row>
    <row r="222" spans="1:7" x14ac:dyDescent="0.3">
      <c r="A222" s="48">
        <v>45572</v>
      </c>
      <c r="B222" s="1">
        <v>2024</v>
      </c>
      <c r="C222" s="1">
        <v>10</v>
      </c>
      <c r="D222" s="1" t="s">
        <v>145</v>
      </c>
      <c r="E222" s="1">
        <v>4</v>
      </c>
      <c r="F222" s="1" t="s">
        <v>135</v>
      </c>
      <c r="G222" s="1" t="s">
        <v>83</v>
      </c>
    </row>
    <row r="223" spans="1:7" x14ac:dyDescent="0.3">
      <c r="A223" s="48">
        <v>45573</v>
      </c>
      <c r="B223" s="1">
        <v>2024</v>
      </c>
      <c r="C223" s="1">
        <v>10</v>
      </c>
      <c r="D223" s="1" t="s">
        <v>145</v>
      </c>
      <c r="E223" s="1">
        <v>4</v>
      </c>
      <c r="F223" s="1" t="s">
        <v>136</v>
      </c>
      <c r="G223" s="1" t="s">
        <v>83</v>
      </c>
    </row>
    <row r="224" spans="1:7" x14ac:dyDescent="0.3">
      <c r="A224" s="48">
        <v>45574</v>
      </c>
      <c r="B224" s="1">
        <v>2024</v>
      </c>
      <c r="C224" s="1">
        <v>10</v>
      </c>
      <c r="D224" s="1" t="s">
        <v>145</v>
      </c>
      <c r="E224" s="1">
        <v>4</v>
      </c>
      <c r="F224" s="1" t="s">
        <v>137</v>
      </c>
      <c r="G224" s="1" t="s">
        <v>83</v>
      </c>
    </row>
    <row r="225" spans="1:7" x14ac:dyDescent="0.3">
      <c r="A225" s="48">
        <v>45575</v>
      </c>
      <c r="B225" s="1">
        <v>2024</v>
      </c>
      <c r="C225" s="1">
        <v>10</v>
      </c>
      <c r="D225" s="1" t="s">
        <v>145</v>
      </c>
      <c r="E225" s="1">
        <v>4</v>
      </c>
      <c r="F225" s="1" t="s">
        <v>138</v>
      </c>
      <c r="G225" s="1" t="s">
        <v>83</v>
      </c>
    </row>
    <row r="226" spans="1:7" x14ac:dyDescent="0.3">
      <c r="A226" s="48">
        <v>45576</v>
      </c>
      <c r="B226" s="1">
        <v>2024</v>
      </c>
      <c r="C226" s="1">
        <v>10</v>
      </c>
      <c r="D226" s="1" t="s">
        <v>145</v>
      </c>
      <c r="E226" s="1">
        <v>4</v>
      </c>
      <c r="F226" s="1" t="s">
        <v>131</v>
      </c>
      <c r="G226" s="1" t="s">
        <v>83</v>
      </c>
    </row>
    <row r="227" spans="1:7" x14ac:dyDescent="0.3">
      <c r="A227" s="48">
        <v>45577</v>
      </c>
      <c r="B227" s="1">
        <v>2024</v>
      </c>
      <c r="C227" s="1">
        <v>10</v>
      </c>
      <c r="D227" s="1" t="s">
        <v>145</v>
      </c>
      <c r="E227" s="1">
        <v>4</v>
      </c>
      <c r="F227" s="1" t="s">
        <v>132</v>
      </c>
      <c r="G227" s="1" t="s">
        <v>133</v>
      </c>
    </row>
    <row r="228" spans="1:7" x14ac:dyDescent="0.3">
      <c r="A228" s="48">
        <v>45578</v>
      </c>
      <c r="B228" s="1">
        <v>2024</v>
      </c>
      <c r="C228" s="1">
        <v>10</v>
      </c>
      <c r="D228" s="1" t="s">
        <v>145</v>
      </c>
      <c r="E228" s="1">
        <v>4</v>
      </c>
      <c r="F228" s="1" t="s">
        <v>134</v>
      </c>
      <c r="G228" s="1" t="s">
        <v>133</v>
      </c>
    </row>
    <row r="229" spans="1:7" x14ac:dyDescent="0.3">
      <c r="A229" s="48">
        <v>45579</v>
      </c>
      <c r="B229" s="1">
        <v>2024</v>
      </c>
      <c r="C229" s="1">
        <v>10</v>
      </c>
      <c r="D229" s="1" t="s">
        <v>145</v>
      </c>
      <c r="E229" s="1">
        <v>4</v>
      </c>
      <c r="F229" s="1" t="s">
        <v>135</v>
      </c>
      <c r="G229" s="1" t="s">
        <v>83</v>
      </c>
    </row>
    <row r="230" spans="1:7" x14ac:dyDescent="0.3">
      <c r="A230" s="48">
        <v>45580</v>
      </c>
      <c r="B230" s="1">
        <v>2024</v>
      </c>
      <c r="C230" s="1">
        <v>10</v>
      </c>
      <c r="D230" s="1" t="s">
        <v>145</v>
      </c>
      <c r="E230" s="1">
        <v>4</v>
      </c>
      <c r="F230" s="1" t="s">
        <v>136</v>
      </c>
      <c r="G230" s="1" t="s">
        <v>83</v>
      </c>
    </row>
    <row r="231" spans="1:7" x14ac:dyDescent="0.3">
      <c r="A231" s="48">
        <v>45581</v>
      </c>
      <c r="B231" s="1">
        <v>2024</v>
      </c>
      <c r="C231" s="1">
        <v>10</v>
      </c>
      <c r="D231" s="1" t="s">
        <v>145</v>
      </c>
      <c r="E231" s="1">
        <v>4</v>
      </c>
      <c r="F231" s="1" t="s">
        <v>137</v>
      </c>
      <c r="G231" s="1" t="s">
        <v>83</v>
      </c>
    </row>
    <row r="232" spans="1:7" x14ac:dyDescent="0.3">
      <c r="A232" s="48">
        <v>45582</v>
      </c>
      <c r="B232" s="1">
        <v>2024</v>
      </c>
      <c r="C232" s="1">
        <v>10</v>
      </c>
      <c r="D232" s="1" t="s">
        <v>145</v>
      </c>
      <c r="E232" s="1">
        <v>4</v>
      </c>
      <c r="F232" s="1" t="s">
        <v>138</v>
      </c>
      <c r="G232" s="1" t="s">
        <v>83</v>
      </c>
    </row>
    <row r="233" spans="1:7" x14ac:dyDescent="0.3">
      <c r="A233" s="48">
        <v>45583</v>
      </c>
      <c r="B233" s="1">
        <v>2024</v>
      </c>
      <c r="C233" s="1">
        <v>10</v>
      </c>
      <c r="D233" s="1" t="s">
        <v>145</v>
      </c>
      <c r="E233" s="1">
        <v>4</v>
      </c>
      <c r="F233" s="1" t="s">
        <v>131</v>
      </c>
      <c r="G233" s="1" t="s">
        <v>83</v>
      </c>
    </row>
    <row r="234" spans="1:7" x14ac:dyDescent="0.3">
      <c r="A234" s="48">
        <v>45584</v>
      </c>
      <c r="B234" s="1">
        <v>2024</v>
      </c>
      <c r="C234" s="1">
        <v>10</v>
      </c>
      <c r="D234" s="1" t="s">
        <v>145</v>
      </c>
      <c r="E234" s="1">
        <v>4</v>
      </c>
      <c r="F234" s="1" t="s">
        <v>132</v>
      </c>
      <c r="G234" s="1" t="s">
        <v>133</v>
      </c>
    </row>
    <row r="235" spans="1:7" x14ac:dyDescent="0.3">
      <c r="A235" s="48">
        <v>45585</v>
      </c>
      <c r="B235" s="1">
        <v>2024</v>
      </c>
      <c r="C235" s="1">
        <v>10</v>
      </c>
      <c r="D235" s="1" t="s">
        <v>145</v>
      </c>
      <c r="E235" s="1">
        <v>4</v>
      </c>
      <c r="F235" s="1" t="s">
        <v>134</v>
      </c>
      <c r="G235" s="1" t="s">
        <v>133</v>
      </c>
    </row>
    <row r="236" spans="1:7" x14ac:dyDescent="0.3">
      <c r="A236" s="48">
        <v>45586</v>
      </c>
      <c r="B236" s="1">
        <v>2024</v>
      </c>
      <c r="C236" s="1">
        <v>10</v>
      </c>
      <c r="D236" s="1" t="s">
        <v>145</v>
      </c>
      <c r="E236" s="1">
        <v>4</v>
      </c>
      <c r="F236" s="1" t="s">
        <v>135</v>
      </c>
      <c r="G236" s="1" t="s">
        <v>83</v>
      </c>
    </row>
    <row r="237" spans="1:7" x14ac:dyDescent="0.3">
      <c r="A237" s="48">
        <v>45587</v>
      </c>
      <c r="B237" s="1">
        <v>2024</v>
      </c>
      <c r="C237" s="1">
        <v>10</v>
      </c>
      <c r="D237" s="1" t="s">
        <v>145</v>
      </c>
      <c r="E237" s="1">
        <v>4</v>
      </c>
      <c r="F237" s="1" t="s">
        <v>136</v>
      </c>
      <c r="G237" s="1" t="s">
        <v>83</v>
      </c>
    </row>
    <row r="238" spans="1:7" x14ac:dyDescent="0.3">
      <c r="A238" s="48">
        <v>45588</v>
      </c>
      <c r="B238" s="1">
        <v>2024</v>
      </c>
      <c r="C238" s="1">
        <v>10</v>
      </c>
      <c r="D238" s="1" t="s">
        <v>145</v>
      </c>
      <c r="E238" s="1">
        <v>4</v>
      </c>
      <c r="F238" s="1" t="s">
        <v>137</v>
      </c>
      <c r="G238" s="1" t="s">
        <v>83</v>
      </c>
    </row>
    <row r="239" spans="1:7" x14ac:dyDescent="0.3">
      <c r="A239" s="48">
        <v>45589</v>
      </c>
      <c r="B239" s="1">
        <v>2024</v>
      </c>
      <c r="C239" s="1">
        <v>10</v>
      </c>
      <c r="D239" s="1" t="s">
        <v>145</v>
      </c>
      <c r="E239" s="1">
        <v>4</v>
      </c>
      <c r="F239" s="1" t="s">
        <v>138</v>
      </c>
      <c r="G239" s="1" t="s">
        <v>83</v>
      </c>
    </row>
    <row r="240" spans="1:7" x14ac:dyDescent="0.3">
      <c r="A240" s="48">
        <v>45590</v>
      </c>
      <c r="B240" s="1">
        <v>2024</v>
      </c>
      <c r="C240" s="1">
        <v>10</v>
      </c>
      <c r="D240" s="1" t="s">
        <v>145</v>
      </c>
      <c r="E240" s="1">
        <v>4</v>
      </c>
      <c r="F240" s="1" t="s">
        <v>131</v>
      </c>
      <c r="G240" s="1" t="s">
        <v>83</v>
      </c>
    </row>
    <row r="241" spans="1:7" x14ac:dyDescent="0.3">
      <c r="A241" s="48">
        <v>45591</v>
      </c>
      <c r="B241" s="1">
        <v>2024</v>
      </c>
      <c r="C241" s="1">
        <v>10</v>
      </c>
      <c r="D241" s="1" t="s">
        <v>145</v>
      </c>
      <c r="E241" s="1">
        <v>4</v>
      </c>
      <c r="F241" s="1" t="s">
        <v>132</v>
      </c>
      <c r="G241" s="1" t="s">
        <v>133</v>
      </c>
    </row>
    <row r="242" spans="1:7" x14ac:dyDescent="0.3">
      <c r="A242" s="48">
        <v>45592</v>
      </c>
      <c r="B242" s="1">
        <v>2024</v>
      </c>
      <c r="C242" s="1">
        <v>10</v>
      </c>
      <c r="D242" s="1" t="s">
        <v>145</v>
      </c>
      <c r="E242" s="1">
        <v>4</v>
      </c>
      <c r="F242" s="1" t="s">
        <v>134</v>
      </c>
      <c r="G242" s="1" t="s">
        <v>133</v>
      </c>
    </row>
    <row r="243" spans="1:7" x14ac:dyDescent="0.3">
      <c r="A243" s="48">
        <v>45593</v>
      </c>
      <c r="B243" s="1">
        <v>2024</v>
      </c>
      <c r="C243" s="1">
        <v>10</v>
      </c>
      <c r="D243" s="1" t="s">
        <v>145</v>
      </c>
      <c r="E243" s="1">
        <v>4</v>
      </c>
      <c r="F243" s="1" t="s">
        <v>135</v>
      </c>
      <c r="G243" s="1" t="s">
        <v>83</v>
      </c>
    </row>
    <row r="244" spans="1:7" x14ac:dyDescent="0.3">
      <c r="A244" s="48">
        <v>45594</v>
      </c>
      <c r="B244" s="1">
        <v>2024</v>
      </c>
      <c r="C244" s="1">
        <v>10</v>
      </c>
      <c r="D244" s="1" t="s">
        <v>145</v>
      </c>
      <c r="E244" s="1">
        <v>4</v>
      </c>
      <c r="F244" s="1" t="s">
        <v>136</v>
      </c>
      <c r="G244" s="1" t="s">
        <v>83</v>
      </c>
    </row>
    <row r="245" spans="1:7" x14ac:dyDescent="0.3">
      <c r="A245" s="48">
        <v>45595</v>
      </c>
      <c r="B245" s="1">
        <v>2024</v>
      </c>
      <c r="C245" s="1">
        <v>10</v>
      </c>
      <c r="D245" s="1" t="s">
        <v>145</v>
      </c>
      <c r="E245" s="1">
        <v>4</v>
      </c>
      <c r="F245" s="1" t="s">
        <v>137</v>
      </c>
      <c r="G245" s="1" t="s">
        <v>83</v>
      </c>
    </row>
    <row r="246" spans="1:7" x14ac:dyDescent="0.3">
      <c r="A246" s="48">
        <v>45596</v>
      </c>
      <c r="B246" s="1">
        <v>2024</v>
      </c>
      <c r="C246" s="1">
        <v>10</v>
      </c>
      <c r="D246" s="1" t="s">
        <v>145</v>
      </c>
      <c r="E246" s="1">
        <v>4</v>
      </c>
      <c r="F246" s="1" t="s">
        <v>138</v>
      </c>
      <c r="G246" s="1" t="s">
        <v>83</v>
      </c>
    </row>
    <row r="247" spans="1:7" x14ac:dyDescent="0.3">
      <c r="A247" s="48">
        <v>45597</v>
      </c>
      <c r="B247" s="1">
        <v>2024</v>
      </c>
      <c r="C247" s="1">
        <v>11</v>
      </c>
      <c r="D247" s="1" t="s">
        <v>146</v>
      </c>
      <c r="E247" s="1">
        <v>4</v>
      </c>
      <c r="F247" s="1" t="s">
        <v>131</v>
      </c>
      <c r="G247" s="1" t="s">
        <v>83</v>
      </c>
    </row>
    <row r="248" spans="1:7" x14ac:dyDescent="0.3">
      <c r="A248" s="48">
        <v>45598</v>
      </c>
      <c r="B248" s="1">
        <v>2024</v>
      </c>
      <c r="C248" s="1">
        <v>11</v>
      </c>
      <c r="D248" s="1" t="s">
        <v>146</v>
      </c>
      <c r="E248" s="1">
        <v>4</v>
      </c>
      <c r="F248" s="1" t="s">
        <v>132</v>
      </c>
      <c r="G248" s="1" t="s">
        <v>133</v>
      </c>
    </row>
    <row r="249" spans="1:7" x14ac:dyDescent="0.3">
      <c r="A249" s="48">
        <v>45599</v>
      </c>
      <c r="B249" s="1">
        <v>2024</v>
      </c>
      <c r="C249" s="1">
        <v>11</v>
      </c>
      <c r="D249" s="1" t="s">
        <v>146</v>
      </c>
      <c r="E249" s="1">
        <v>4</v>
      </c>
      <c r="F249" s="1" t="s">
        <v>134</v>
      </c>
      <c r="G249" s="1" t="s">
        <v>133</v>
      </c>
    </row>
    <row r="250" spans="1:7" x14ac:dyDescent="0.3">
      <c r="A250" s="48">
        <v>45600</v>
      </c>
      <c r="B250" s="1">
        <v>2024</v>
      </c>
      <c r="C250" s="1">
        <v>11</v>
      </c>
      <c r="D250" s="1" t="s">
        <v>146</v>
      </c>
      <c r="E250" s="1">
        <v>4</v>
      </c>
      <c r="F250" s="1" t="s">
        <v>135</v>
      </c>
      <c r="G250" s="1" t="s">
        <v>83</v>
      </c>
    </row>
    <row r="251" spans="1:7" x14ac:dyDescent="0.3">
      <c r="A251" s="48">
        <v>45601</v>
      </c>
      <c r="B251" s="1">
        <v>2024</v>
      </c>
      <c r="C251" s="1">
        <v>11</v>
      </c>
      <c r="D251" s="1" t="s">
        <v>146</v>
      </c>
      <c r="E251" s="1">
        <v>4</v>
      </c>
      <c r="F251" s="1" t="s">
        <v>136</v>
      </c>
      <c r="G251" s="1" t="s">
        <v>83</v>
      </c>
    </row>
    <row r="252" spans="1:7" x14ac:dyDescent="0.3">
      <c r="A252" s="48">
        <v>45602</v>
      </c>
      <c r="B252" s="1">
        <v>2024</v>
      </c>
      <c r="C252" s="1">
        <v>11</v>
      </c>
      <c r="D252" s="1" t="s">
        <v>146</v>
      </c>
      <c r="E252" s="1">
        <v>4</v>
      </c>
      <c r="F252" s="1" t="s">
        <v>137</v>
      </c>
      <c r="G252" s="1" t="s">
        <v>83</v>
      </c>
    </row>
    <row r="253" spans="1:7" x14ac:dyDescent="0.3">
      <c r="A253" s="48">
        <v>45603</v>
      </c>
      <c r="B253" s="1">
        <v>2024</v>
      </c>
      <c r="C253" s="1">
        <v>11</v>
      </c>
      <c r="D253" s="1" t="s">
        <v>146</v>
      </c>
      <c r="E253" s="1">
        <v>4</v>
      </c>
      <c r="F253" s="1" t="s">
        <v>138</v>
      </c>
      <c r="G253" s="1" t="s">
        <v>83</v>
      </c>
    </row>
    <row r="254" spans="1:7" x14ac:dyDescent="0.3">
      <c r="A254" s="48">
        <v>45604</v>
      </c>
      <c r="B254" s="1">
        <v>2024</v>
      </c>
      <c r="C254" s="1">
        <v>11</v>
      </c>
      <c r="D254" s="1" t="s">
        <v>146</v>
      </c>
      <c r="E254" s="1">
        <v>4</v>
      </c>
      <c r="F254" s="1" t="s">
        <v>131</v>
      </c>
      <c r="G254" s="1" t="s">
        <v>83</v>
      </c>
    </row>
    <row r="255" spans="1:7" x14ac:dyDescent="0.3">
      <c r="A255" s="48">
        <v>45605</v>
      </c>
      <c r="B255" s="1">
        <v>2024</v>
      </c>
      <c r="C255" s="1">
        <v>11</v>
      </c>
      <c r="D255" s="1" t="s">
        <v>146</v>
      </c>
      <c r="E255" s="1">
        <v>4</v>
      </c>
      <c r="F255" s="1" t="s">
        <v>132</v>
      </c>
      <c r="G255" s="1" t="s">
        <v>133</v>
      </c>
    </row>
    <row r="256" spans="1:7" x14ac:dyDescent="0.3">
      <c r="A256" s="48">
        <v>45606</v>
      </c>
      <c r="B256" s="1">
        <v>2024</v>
      </c>
      <c r="C256" s="1">
        <v>11</v>
      </c>
      <c r="D256" s="1" t="s">
        <v>146</v>
      </c>
      <c r="E256" s="1">
        <v>4</v>
      </c>
      <c r="F256" s="1" t="s">
        <v>134</v>
      </c>
      <c r="G256" s="1" t="s">
        <v>133</v>
      </c>
    </row>
    <row r="257" spans="1:7" x14ac:dyDescent="0.3">
      <c r="A257" s="48">
        <v>45607</v>
      </c>
      <c r="B257" s="1">
        <v>2024</v>
      </c>
      <c r="C257" s="1">
        <v>11</v>
      </c>
      <c r="D257" s="1" t="s">
        <v>146</v>
      </c>
      <c r="E257" s="1">
        <v>4</v>
      </c>
      <c r="F257" s="1" t="s">
        <v>135</v>
      </c>
      <c r="G257" s="1" t="s">
        <v>83</v>
      </c>
    </row>
    <row r="258" spans="1:7" x14ac:dyDescent="0.3">
      <c r="A258" s="48">
        <v>45608</v>
      </c>
      <c r="B258" s="1">
        <v>2024</v>
      </c>
      <c r="C258" s="1">
        <v>11</v>
      </c>
      <c r="D258" s="1" t="s">
        <v>146</v>
      </c>
      <c r="E258" s="1">
        <v>4</v>
      </c>
      <c r="F258" s="1" t="s">
        <v>136</v>
      </c>
      <c r="G258" s="1" t="s">
        <v>83</v>
      </c>
    </row>
    <row r="259" spans="1:7" x14ac:dyDescent="0.3">
      <c r="A259" s="48">
        <v>45609</v>
      </c>
      <c r="B259" s="1">
        <v>2024</v>
      </c>
      <c r="C259" s="1">
        <v>11</v>
      </c>
      <c r="D259" s="1" t="s">
        <v>146</v>
      </c>
      <c r="E259" s="1">
        <v>4</v>
      </c>
      <c r="F259" s="1" t="s">
        <v>137</v>
      </c>
      <c r="G259" s="1" t="s">
        <v>83</v>
      </c>
    </row>
    <row r="260" spans="1:7" x14ac:dyDescent="0.3">
      <c r="A260" s="48">
        <v>45610</v>
      </c>
      <c r="B260" s="1">
        <v>2024</v>
      </c>
      <c r="C260" s="1">
        <v>11</v>
      </c>
      <c r="D260" s="1" t="s">
        <v>146</v>
      </c>
      <c r="E260" s="1">
        <v>4</v>
      </c>
      <c r="F260" s="1" t="s">
        <v>138</v>
      </c>
      <c r="G260" s="1" t="s">
        <v>83</v>
      </c>
    </row>
    <row r="261" spans="1:7" x14ac:dyDescent="0.3">
      <c r="A261" s="48">
        <v>45611</v>
      </c>
      <c r="B261" s="1">
        <v>2024</v>
      </c>
      <c r="C261" s="1">
        <v>11</v>
      </c>
      <c r="D261" s="1" t="s">
        <v>146</v>
      </c>
      <c r="E261" s="1">
        <v>4</v>
      </c>
      <c r="F261" s="1" t="s">
        <v>131</v>
      </c>
      <c r="G261" s="1" t="s">
        <v>83</v>
      </c>
    </row>
    <row r="262" spans="1:7" x14ac:dyDescent="0.3">
      <c r="A262" s="48">
        <v>45612</v>
      </c>
      <c r="B262" s="1">
        <v>2024</v>
      </c>
      <c r="C262" s="1">
        <v>11</v>
      </c>
      <c r="D262" s="1" t="s">
        <v>146</v>
      </c>
      <c r="E262" s="1">
        <v>4</v>
      </c>
      <c r="F262" s="1" t="s">
        <v>132</v>
      </c>
      <c r="G262" s="1" t="s">
        <v>133</v>
      </c>
    </row>
    <row r="263" spans="1:7" x14ac:dyDescent="0.3">
      <c r="A263" s="48">
        <v>45613</v>
      </c>
      <c r="B263" s="1">
        <v>2024</v>
      </c>
      <c r="C263" s="1">
        <v>11</v>
      </c>
      <c r="D263" s="1" t="s">
        <v>146</v>
      </c>
      <c r="E263" s="1">
        <v>4</v>
      </c>
      <c r="F263" s="1" t="s">
        <v>134</v>
      </c>
      <c r="G263" s="1" t="s">
        <v>133</v>
      </c>
    </row>
    <row r="264" spans="1:7" x14ac:dyDescent="0.3">
      <c r="A264" s="48">
        <v>45614</v>
      </c>
      <c r="B264" s="1">
        <v>2024</v>
      </c>
      <c r="C264" s="1">
        <v>11</v>
      </c>
      <c r="D264" s="1" t="s">
        <v>146</v>
      </c>
      <c r="E264" s="1">
        <v>4</v>
      </c>
      <c r="F264" s="1" t="s">
        <v>135</v>
      </c>
      <c r="G264" s="1" t="s">
        <v>83</v>
      </c>
    </row>
    <row r="265" spans="1:7" x14ac:dyDescent="0.3">
      <c r="A265" s="48">
        <v>45615</v>
      </c>
      <c r="B265" s="1">
        <v>2024</v>
      </c>
      <c r="C265" s="1">
        <v>11</v>
      </c>
      <c r="D265" s="1" t="s">
        <v>146</v>
      </c>
      <c r="E265" s="1">
        <v>4</v>
      </c>
      <c r="F265" s="1" t="s">
        <v>136</v>
      </c>
      <c r="G265" s="1" t="s">
        <v>83</v>
      </c>
    </row>
    <row r="266" spans="1:7" x14ac:dyDescent="0.3">
      <c r="A266" s="48">
        <v>45616</v>
      </c>
      <c r="B266" s="1">
        <v>2024</v>
      </c>
      <c r="C266" s="1">
        <v>11</v>
      </c>
      <c r="D266" s="1" t="s">
        <v>146</v>
      </c>
      <c r="E266" s="1">
        <v>4</v>
      </c>
      <c r="F266" s="1" t="s">
        <v>137</v>
      </c>
      <c r="G266" s="1" t="s">
        <v>83</v>
      </c>
    </row>
    <row r="267" spans="1:7" x14ac:dyDescent="0.3">
      <c r="A267" s="48">
        <v>45617</v>
      </c>
      <c r="B267" s="1">
        <v>2024</v>
      </c>
      <c r="C267" s="1">
        <v>11</v>
      </c>
      <c r="D267" s="1" t="s">
        <v>146</v>
      </c>
      <c r="E267" s="1">
        <v>4</v>
      </c>
      <c r="F267" s="1" t="s">
        <v>138</v>
      </c>
      <c r="G267" s="1" t="s">
        <v>83</v>
      </c>
    </row>
    <row r="268" spans="1:7" x14ac:dyDescent="0.3">
      <c r="A268" s="48">
        <v>45618</v>
      </c>
      <c r="B268" s="1">
        <v>2024</v>
      </c>
      <c r="C268" s="1">
        <v>11</v>
      </c>
      <c r="D268" s="1" t="s">
        <v>146</v>
      </c>
      <c r="E268" s="1">
        <v>4</v>
      </c>
      <c r="F268" s="1" t="s">
        <v>131</v>
      </c>
      <c r="G268" s="1" t="s">
        <v>83</v>
      </c>
    </row>
    <row r="269" spans="1:7" x14ac:dyDescent="0.3">
      <c r="A269" s="48">
        <v>45619</v>
      </c>
      <c r="B269" s="1">
        <v>2024</v>
      </c>
      <c r="C269" s="1">
        <v>11</v>
      </c>
      <c r="D269" s="1" t="s">
        <v>146</v>
      </c>
      <c r="E269" s="1">
        <v>4</v>
      </c>
      <c r="F269" s="1" t="s">
        <v>132</v>
      </c>
      <c r="G269" s="1" t="s">
        <v>133</v>
      </c>
    </row>
    <row r="270" spans="1:7" x14ac:dyDescent="0.3">
      <c r="A270" s="48">
        <v>45620</v>
      </c>
      <c r="B270" s="1">
        <v>2024</v>
      </c>
      <c r="C270" s="1">
        <v>11</v>
      </c>
      <c r="D270" s="1" t="s">
        <v>146</v>
      </c>
      <c r="E270" s="1">
        <v>4</v>
      </c>
      <c r="F270" s="1" t="s">
        <v>134</v>
      </c>
      <c r="G270" s="1" t="s">
        <v>133</v>
      </c>
    </row>
    <row r="271" spans="1:7" x14ac:dyDescent="0.3">
      <c r="A271" s="48">
        <v>45621</v>
      </c>
      <c r="B271" s="1">
        <v>2024</v>
      </c>
      <c r="C271" s="1">
        <v>11</v>
      </c>
      <c r="D271" s="1" t="s">
        <v>146</v>
      </c>
      <c r="E271" s="1">
        <v>4</v>
      </c>
      <c r="F271" s="1" t="s">
        <v>135</v>
      </c>
      <c r="G271" s="1" t="s">
        <v>83</v>
      </c>
    </row>
    <row r="272" spans="1:7" x14ac:dyDescent="0.3">
      <c r="A272" s="48">
        <v>45622</v>
      </c>
      <c r="B272" s="1">
        <v>2024</v>
      </c>
      <c r="C272" s="1">
        <v>11</v>
      </c>
      <c r="D272" s="1" t="s">
        <v>146</v>
      </c>
      <c r="E272" s="1">
        <v>4</v>
      </c>
      <c r="F272" s="1" t="s">
        <v>136</v>
      </c>
      <c r="G272" s="1" t="s">
        <v>83</v>
      </c>
    </row>
    <row r="273" spans="1:7" x14ac:dyDescent="0.3">
      <c r="A273" s="48">
        <v>45623</v>
      </c>
      <c r="B273" s="1">
        <v>2024</v>
      </c>
      <c r="C273" s="1">
        <v>11</v>
      </c>
      <c r="D273" s="1" t="s">
        <v>146</v>
      </c>
      <c r="E273" s="1">
        <v>4</v>
      </c>
      <c r="F273" s="1" t="s">
        <v>137</v>
      </c>
      <c r="G273" s="1" t="s">
        <v>83</v>
      </c>
    </row>
    <row r="274" spans="1:7" x14ac:dyDescent="0.3">
      <c r="A274" s="48">
        <v>45624</v>
      </c>
      <c r="B274" s="1">
        <v>2024</v>
      </c>
      <c r="C274" s="1">
        <v>11</v>
      </c>
      <c r="D274" s="1" t="s">
        <v>146</v>
      </c>
      <c r="E274" s="1">
        <v>4</v>
      </c>
      <c r="F274" s="1" t="s">
        <v>138</v>
      </c>
      <c r="G274" s="1" t="s">
        <v>83</v>
      </c>
    </row>
    <row r="275" spans="1:7" x14ac:dyDescent="0.3">
      <c r="A275" s="48">
        <v>45625</v>
      </c>
      <c r="B275" s="1">
        <v>2024</v>
      </c>
      <c r="C275" s="1">
        <v>11</v>
      </c>
      <c r="D275" s="1" t="s">
        <v>146</v>
      </c>
      <c r="E275" s="1">
        <v>4</v>
      </c>
      <c r="F275" s="1" t="s">
        <v>131</v>
      </c>
      <c r="G275" s="1" t="s">
        <v>83</v>
      </c>
    </row>
    <row r="276" spans="1:7" x14ac:dyDescent="0.3">
      <c r="A276" s="48">
        <v>45626</v>
      </c>
      <c r="B276" s="1">
        <v>2024</v>
      </c>
      <c r="C276" s="1">
        <v>11</v>
      </c>
      <c r="D276" s="1" t="s">
        <v>146</v>
      </c>
      <c r="E276" s="1">
        <v>4</v>
      </c>
      <c r="F276" s="1" t="s">
        <v>132</v>
      </c>
      <c r="G276" s="1" t="s">
        <v>133</v>
      </c>
    </row>
    <row r="277" spans="1:7" x14ac:dyDescent="0.3">
      <c r="A277" s="48">
        <v>45627</v>
      </c>
      <c r="B277" s="1">
        <v>2024</v>
      </c>
      <c r="C277" s="1">
        <v>12</v>
      </c>
      <c r="D277" s="1" t="s">
        <v>82</v>
      </c>
      <c r="E277" s="1">
        <v>4</v>
      </c>
      <c r="F277" s="1" t="s">
        <v>134</v>
      </c>
      <c r="G277" s="1" t="s">
        <v>133</v>
      </c>
    </row>
    <row r="278" spans="1:7" x14ac:dyDescent="0.3">
      <c r="A278" s="48">
        <v>45628</v>
      </c>
      <c r="B278" s="1">
        <v>2024</v>
      </c>
      <c r="C278" s="1">
        <v>12</v>
      </c>
      <c r="D278" s="1" t="s">
        <v>82</v>
      </c>
      <c r="E278" s="1">
        <v>4</v>
      </c>
      <c r="F278" s="1" t="s">
        <v>135</v>
      </c>
      <c r="G278" s="1" t="s">
        <v>83</v>
      </c>
    </row>
    <row r="279" spans="1:7" x14ac:dyDescent="0.3">
      <c r="A279" s="48">
        <v>45629</v>
      </c>
      <c r="B279" s="1">
        <v>2024</v>
      </c>
      <c r="C279" s="1">
        <v>12</v>
      </c>
      <c r="D279" s="1" t="s">
        <v>82</v>
      </c>
      <c r="E279" s="1">
        <v>4</v>
      </c>
      <c r="F279" s="1" t="s">
        <v>136</v>
      </c>
      <c r="G279" s="1" t="s">
        <v>83</v>
      </c>
    </row>
    <row r="280" spans="1:7" x14ac:dyDescent="0.3">
      <c r="A280" s="48">
        <v>45630</v>
      </c>
      <c r="B280" s="1">
        <v>2024</v>
      </c>
      <c r="C280" s="1">
        <v>12</v>
      </c>
      <c r="D280" s="1" t="s">
        <v>82</v>
      </c>
      <c r="E280" s="1">
        <v>4</v>
      </c>
      <c r="F280" s="1" t="s">
        <v>137</v>
      </c>
      <c r="G280" s="1" t="s">
        <v>83</v>
      </c>
    </row>
    <row r="281" spans="1:7" x14ac:dyDescent="0.3">
      <c r="A281" s="48">
        <v>45631</v>
      </c>
      <c r="B281" s="1">
        <v>2024</v>
      </c>
      <c r="C281" s="1">
        <v>12</v>
      </c>
      <c r="D281" s="1" t="s">
        <v>82</v>
      </c>
      <c r="E281" s="1">
        <v>4</v>
      </c>
      <c r="F281" s="1" t="s">
        <v>138</v>
      </c>
      <c r="G281" s="1" t="s">
        <v>83</v>
      </c>
    </row>
    <row r="282" spans="1:7" x14ac:dyDescent="0.3">
      <c r="A282" s="48">
        <v>45632</v>
      </c>
      <c r="B282" s="1">
        <v>2024</v>
      </c>
      <c r="C282" s="1">
        <v>12</v>
      </c>
      <c r="D282" s="1" t="s">
        <v>82</v>
      </c>
      <c r="E282" s="1">
        <v>4</v>
      </c>
      <c r="F282" s="1" t="s">
        <v>131</v>
      </c>
      <c r="G282" s="1" t="s">
        <v>83</v>
      </c>
    </row>
    <row r="283" spans="1:7" x14ac:dyDescent="0.3">
      <c r="A283" s="48">
        <v>45633</v>
      </c>
      <c r="B283" s="1">
        <v>2024</v>
      </c>
      <c r="C283" s="1">
        <v>12</v>
      </c>
      <c r="D283" s="1" t="s">
        <v>82</v>
      </c>
      <c r="E283" s="1">
        <v>4</v>
      </c>
      <c r="F283" s="1" t="s">
        <v>132</v>
      </c>
      <c r="G283" s="1" t="s">
        <v>133</v>
      </c>
    </row>
    <row r="284" spans="1:7" x14ac:dyDescent="0.3">
      <c r="A284" s="48">
        <v>45634</v>
      </c>
      <c r="B284" s="1">
        <v>2024</v>
      </c>
      <c r="C284" s="1">
        <v>12</v>
      </c>
      <c r="D284" s="1" t="s">
        <v>82</v>
      </c>
      <c r="E284" s="1">
        <v>4</v>
      </c>
      <c r="F284" s="1" t="s">
        <v>134</v>
      </c>
      <c r="G284" s="1" t="s">
        <v>133</v>
      </c>
    </row>
    <row r="285" spans="1:7" x14ac:dyDescent="0.3">
      <c r="A285" s="48">
        <v>45635</v>
      </c>
      <c r="B285" s="1">
        <v>2024</v>
      </c>
      <c r="C285" s="1">
        <v>12</v>
      </c>
      <c r="D285" s="1" t="s">
        <v>82</v>
      </c>
      <c r="E285" s="1">
        <v>4</v>
      </c>
      <c r="F285" s="1" t="s">
        <v>135</v>
      </c>
      <c r="G285" s="1" t="s">
        <v>83</v>
      </c>
    </row>
    <row r="286" spans="1:7" x14ac:dyDescent="0.3">
      <c r="A286" s="48">
        <v>45636</v>
      </c>
      <c r="B286" s="1">
        <v>2024</v>
      </c>
      <c r="C286" s="1">
        <v>12</v>
      </c>
      <c r="D286" s="1" t="s">
        <v>82</v>
      </c>
      <c r="E286" s="1">
        <v>4</v>
      </c>
      <c r="F286" s="1" t="s">
        <v>136</v>
      </c>
      <c r="G286" s="1" t="s">
        <v>83</v>
      </c>
    </row>
    <row r="287" spans="1:7" x14ac:dyDescent="0.3">
      <c r="A287" s="48">
        <v>45637</v>
      </c>
      <c r="B287" s="1">
        <v>2024</v>
      </c>
      <c r="C287" s="1">
        <v>12</v>
      </c>
      <c r="D287" s="1" t="s">
        <v>82</v>
      </c>
      <c r="E287" s="1">
        <v>4</v>
      </c>
      <c r="F287" s="1" t="s">
        <v>137</v>
      </c>
      <c r="G287" s="1" t="s">
        <v>83</v>
      </c>
    </row>
    <row r="288" spans="1:7" x14ac:dyDescent="0.3">
      <c r="A288" s="48">
        <v>45638</v>
      </c>
      <c r="B288" s="1">
        <v>2024</v>
      </c>
      <c r="C288" s="1">
        <v>12</v>
      </c>
      <c r="D288" s="1" t="s">
        <v>82</v>
      </c>
      <c r="E288" s="1">
        <v>4</v>
      </c>
      <c r="F288" s="1" t="s">
        <v>138</v>
      </c>
      <c r="G288" s="1" t="s">
        <v>83</v>
      </c>
    </row>
    <row r="289" spans="1:7" x14ac:dyDescent="0.3">
      <c r="A289" s="48">
        <v>45639</v>
      </c>
      <c r="B289" s="1">
        <v>2024</v>
      </c>
      <c r="C289" s="1">
        <v>12</v>
      </c>
      <c r="D289" s="1" t="s">
        <v>82</v>
      </c>
      <c r="E289" s="1">
        <v>4</v>
      </c>
      <c r="F289" s="1" t="s">
        <v>131</v>
      </c>
      <c r="G289" s="1" t="s">
        <v>83</v>
      </c>
    </row>
    <row r="290" spans="1:7" x14ac:dyDescent="0.3">
      <c r="A290" s="48">
        <v>45640</v>
      </c>
      <c r="B290" s="1">
        <v>2024</v>
      </c>
      <c r="C290" s="1">
        <v>12</v>
      </c>
      <c r="D290" s="1" t="s">
        <v>82</v>
      </c>
      <c r="E290" s="1">
        <v>4</v>
      </c>
      <c r="F290" s="1" t="s">
        <v>132</v>
      </c>
      <c r="G290" s="1" t="s">
        <v>133</v>
      </c>
    </row>
    <row r="291" spans="1:7" x14ac:dyDescent="0.3">
      <c r="A291" s="48">
        <v>45641</v>
      </c>
      <c r="B291" s="1">
        <v>2024</v>
      </c>
      <c r="C291" s="1">
        <v>12</v>
      </c>
      <c r="D291" s="1" t="s">
        <v>82</v>
      </c>
      <c r="E291" s="1">
        <v>4</v>
      </c>
      <c r="F291" s="1" t="s">
        <v>134</v>
      </c>
      <c r="G291" s="1" t="s">
        <v>133</v>
      </c>
    </row>
    <row r="292" spans="1:7" x14ac:dyDescent="0.3">
      <c r="A292" s="48">
        <v>45642</v>
      </c>
      <c r="B292" s="1">
        <v>2024</v>
      </c>
      <c r="C292" s="1">
        <v>12</v>
      </c>
      <c r="D292" s="1" t="s">
        <v>82</v>
      </c>
      <c r="E292" s="1">
        <v>4</v>
      </c>
      <c r="F292" s="1" t="s">
        <v>135</v>
      </c>
      <c r="G292" s="1" t="s">
        <v>83</v>
      </c>
    </row>
    <row r="293" spans="1:7" x14ac:dyDescent="0.3">
      <c r="A293" s="48">
        <v>45643</v>
      </c>
      <c r="B293" s="1">
        <v>2024</v>
      </c>
      <c r="C293" s="1">
        <v>12</v>
      </c>
      <c r="D293" s="1" t="s">
        <v>82</v>
      </c>
      <c r="E293" s="1">
        <v>4</v>
      </c>
      <c r="F293" s="1" t="s">
        <v>136</v>
      </c>
      <c r="G293" s="1" t="s">
        <v>83</v>
      </c>
    </row>
    <row r="294" spans="1:7" x14ac:dyDescent="0.3">
      <c r="A294" s="48">
        <v>45644</v>
      </c>
      <c r="B294" s="1">
        <v>2024</v>
      </c>
      <c r="C294" s="1">
        <v>12</v>
      </c>
      <c r="D294" s="1" t="s">
        <v>82</v>
      </c>
      <c r="E294" s="1">
        <v>4</v>
      </c>
      <c r="F294" s="1" t="s">
        <v>137</v>
      </c>
      <c r="G294" s="1" t="s">
        <v>83</v>
      </c>
    </row>
    <row r="295" spans="1:7" x14ac:dyDescent="0.3">
      <c r="A295" s="48">
        <v>45645</v>
      </c>
      <c r="B295" s="1">
        <v>2024</v>
      </c>
      <c r="C295" s="1">
        <v>12</v>
      </c>
      <c r="D295" s="1" t="s">
        <v>82</v>
      </c>
      <c r="E295" s="1">
        <v>4</v>
      </c>
      <c r="F295" s="1" t="s">
        <v>138</v>
      </c>
      <c r="G295" s="1" t="s">
        <v>83</v>
      </c>
    </row>
    <row r="296" spans="1:7" x14ac:dyDescent="0.3">
      <c r="A296" s="48">
        <v>45646</v>
      </c>
      <c r="B296" s="1">
        <v>2024</v>
      </c>
      <c r="C296" s="1">
        <v>12</v>
      </c>
      <c r="D296" s="1" t="s">
        <v>82</v>
      </c>
      <c r="E296" s="1">
        <v>4</v>
      </c>
      <c r="F296" s="1" t="s">
        <v>131</v>
      </c>
      <c r="G296" s="1" t="s">
        <v>83</v>
      </c>
    </row>
    <row r="297" spans="1:7" x14ac:dyDescent="0.3">
      <c r="A297" s="48">
        <v>45647</v>
      </c>
      <c r="B297" s="1">
        <v>2024</v>
      </c>
      <c r="C297" s="1">
        <v>12</v>
      </c>
      <c r="D297" s="1" t="s">
        <v>82</v>
      </c>
      <c r="E297" s="1">
        <v>4</v>
      </c>
      <c r="F297" s="1" t="s">
        <v>132</v>
      </c>
      <c r="G297" s="1" t="s">
        <v>133</v>
      </c>
    </row>
    <row r="298" spans="1:7" x14ac:dyDescent="0.3">
      <c r="A298" s="48">
        <v>45648</v>
      </c>
      <c r="B298" s="1">
        <v>2024</v>
      </c>
      <c r="C298" s="1">
        <v>12</v>
      </c>
      <c r="D298" s="1" t="s">
        <v>82</v>
      </c>
      <c r="E298" s="1">
        <v>4</v>
      </c>
      <c r="F298" s="1" t="s">
        <v>134</v>
      </c>
      <c r="G298" s="1" t="s">
        <v>133</v>
      </c>
    </row>
    <row r="299" spans="1:7" x14ac:dyDescent="0.3">
      <c r="A299" s="48">
        <v>45649</v>
      </c>
      <c r="B299" s="1">
        <v>2024</v>
      </c>
      <c r="C299" s="1">
        <v>12</v>
      </c>
      <c r="D299" s="1" t="s">
        <v>82</v>
      </c>
      <c r="E299" s="1">
        <v>4</v>
      </c>
      <c r="F299" s="1" t="s">
        <v>135</v>
      </c>
      <c r="G299" s="1" t="s">
        <v>83</v>
      </c>
    </row>
    <row r="300" spans="1:7" x14ac:dyDescent="0.3">
      <c r="A300" s="48">
        <v>45650</v>
      </c>
      <c r="B300" s="1">
        <v>2024</v>
      </c>
      <c r="C300" s="1">
        <v>12</v>
      </c>
      <c r="D300" s="1" t="s">
        <v>82</v>
      </c>
      <c r="E300" s="1">
        <v>4</v>
      </c>
      <c r="F300" s="1" t="s">
        <v>136</v>
      </c>
      <c r="G300" s="1" t="s">
        <v>83</v>
      </c>
    </row>
    <row r="301" spans="1:7" x14ac:dyDescent="0.3">
      <c r="A301" s="48">
        <v>45651</v>
      </c>
      <c r="B301" s="1">
        <v>2024</v>
      </c>
      <c r="C301" s="1">
        <v>12</v>
      </c>
      <c r="D301" s="1" t="s">
        <v>82</v>
      </c>
      <c r="E301" s="1">
        <v>4</v>
      </c>
      <c r="F301" s="1" t="s">
        <v>137</v>
      </c>
      <c r="G301" s="1" t="s">
        <v>83</v>
      </c>
    </row>
    <row r="302" spans="1:7" x14ac:dyDescent="0.3">
      <c r="A302" s="48">
        <v>45652</v>
      </c>
      <c r="B302" s="1">
        <v>2024</v>
      </c>
      <c r="C302" s="1">
        <v>12</v>
      </c>
      <c r="D302" s="1" t="s">
        <v>82</v>
      </c>
      <c r="E302" s="1">
        <v>4</v>
      </c>
      <c r="F302" s="1" t="s">
        <v>138</v>
      </c>
      <c r="G302" s="1" t="s">
        <v>83</v>
      </c>
    </row>
    <row r="303" spans="1:7" x14ac:dyDescent="0.3">
      <c r="A303" s="48">
        <v>45653</v>
      </c>
      <c r="B303" s="1">
        <v>2024</v>
      </c>
      <c r="C303" s="1">
        <v>12</v>
      </c>
      <c r="D303" s="1" t="s">
        <v>82</v>
      </c>
      <c r="E303" s="1">
        <v>4</v>
      </c>
      <c r="F303" s="1" t="s">
        <v>131</v>
      </c>
      <c r="G303" s="1" t="s">
        <v>83</v>
      </c>
    </row>
    <row r="304" spans="1:7" x14ac:dyDescent="0.3">
      <c r="A304" s="48">
        <v>45654</v>
      </c>
      <c r="B304" s="1">
        <v>2024</v>
      </c>
      <c r="C304" s="1">
        <v>12</v>
      </c>
      <c r="D304" s="1" t="s">
        <v>82</v>
      </c>
      <c r="E304" s="1">
        <v>4</v>
      </c>
      <c r="F304" s="1" t="s">
        <v>132</v>
      </c>
      <c r="G304" s="1" t="s">
        <v>133</v>
      </c>
    </row>
    <row r="305" spans="1:7" x14ac:dyDescent="0.3">
      <c r="A305" s="48">
        <v>45655</v>
      </c>
      <c r="B305" s="1">
        <v>2024</v>
      </c>
      <c r="C305" s="1">
        <v>12</v>
      </c>
      <c r="D305" s="1" t="s">
        <v>82</v>
      </c>
      <c r="E305" s="1">
        <v>4</v>
      </c>
      <c r="F305" s="1" t="s">
        <v>134</v>
      </c>
      <c r="G305" s="1" t="s">
        <v>133</v>
      </c>
    </row>
    <row r="306" spans="1:7" x14ac:dyDescent="0.3">
      <c r="A306" s="48">
        <v>45656</v>
      </c>
      <c r="B306" s="1">
        <v>2024</v>
      </c>
      <c r="C306" s="1">
        <v>12</v>
      </c>
      <c r="D306" s="1" t="s">
        <v>82</v>
      </c>
      <c r="E306" s="1">
        <v>4</v>
      </c>
      <c r="F306" s="1" t="s">
        <v>135</v>
      </c>
      <c r="G306" s="1" t="s">
        <v>83</v>
      </c>
    </row>
    <row r="307" spans="1:7" x14ac:dyDescent="0.3">
      <c r="A307" s="48">
        <v>45657</v>
      </c>
      <c r="B307" s="1">
        <v>2024</v>
      </c>
      <c r="C307" s="1">
        <v>12</v>
      </c>
      <c r="D307" s="1" t="s">
        <v>82</v>
      </c>
      <c r="E307" s="1">
        <v>4</v>
      </c>
      <c r="F307" s="1" t="s">
        <v>136</v>
      </c>
      <c r="G307" s="1" t="s">
        <v>83</v>
      </c>
    </row>
    <row r="308" spans="1:7" x14ac:dyDescent="0.3">
      <c r="A308" s="48">
        <v>45658</v>
      </c>
      <c r="B308" s="1">
        <v>2025</v>
      </c>
      <c r="C308" s="1">
        <v>1</v>
      </c>
      <c r="D308" s="1" t="s">
        <v>147</v>
      </c>
      <c r="E308" s="1">
        <v>1</v>
      </c>
      <c r="F308" s="1" t="s">
        <v>137</v>
      </c>
      <c r="G308" s="1" t="s">
        <v>83</v>
      </c>
    </row>
    <row r="309" spans="1:7" x14ac:dyDescent="0.3">
      <c r="A309" s="48">
        <v>45659</v>
      </c>
      <c r="B309" s="1">
        <v>2025</v>
      </c>
      <c r="C309" s="1">
        <v>1</v>
      </c>
      <c r="D309" s="1" t="s">
        <v>147</v>
      </c>
      <c r="E309" s="1">
        <v>1</v>
      </c>
      <c r="F309" s="1" t="s">
        <v>138</v>
      </c>
      <c r="G309" s="1" t="s">
        <v>83</v>
      </c>
    </row>
    <row r="310" spans="1:7" x14ac:dyDescent="0.3">
      <c r="A310" s="48">
        <v>45660</v>
      </c>
      <c r="B310" s="1">
        <v>2025</v>
      </c>
      <c r="C310" s="1">
        <v>1</v>
      </c>
      <c r="D310" s="1" t="s">
        <v>147</v>
      </c>
      <c r="E310" s="1">
        <v>1</v>
      </c>
      <c r="F310" s="1" t="s">
        <v>131</v>
      </c>
      <c r="G310" s="1" t="s">
        <v>83</v>
      </c>
    </row>
    <row r="311" spans="1:7" x14ac:dyDescent="0.3">
      <c r="A311" s="48">
        <v>45661</v>
      </c>
      <c r="B311" s="1">
        <v>2025</v>
      </c>
      <c r="C311" s="1">
        <v>1</v>
      </c>
      <c r="D311" s="1" t="s">
        <v>147</v>
      </c>
      <c r="E311" s="1">
        <v>1</v>
      </c>
      <c r="F311" s="1" t="s">
        <v>132</v>
      </c>
      <c r="G311" s="1" t="s">
        <v>133</v>
      </c>
    </row>
    <row r="312" spans="1:7" x14ac:dyDescent="0.3">
      <c r="A312" s="48">
        <v>45662</v>
      </c>
      <c r="B312" s="1">
        <v>2025</v>
      </c>
      <c r="C312" s="1">
        <v>1</v>
      </c>
      <c r="D312" s="1" t="s">
        <v>147</v>
      </c>
      <c r="E312" s="1">
        <v>1</v>
      </c>
      <c r="F312" s="1" t="s">
        <v>134</v>
      </c>
      <c r="G312" s="1" t="s">
        <v>133</v>
      </c>
    </row>
    <row r="313" spans="1:7" x14ac:dyDescent="0.3">
      <c r="A313" s="48">
        <v>45663</v>
      </c>
      <c r="B313" s="1">
        <v>2025</v>
      </c>
      <c r="C313" s="1">
        <v>1</v>
      </c>
      <c r="D313" s="1" t="s">
        <v>147</v>
      </c>
      <c r="E313" s="1">
        <v>1</v>
      </c>
      <c r="F313" s="1" t="s">
        <v>135</v>
      </c>
      <c r="G313" s="1" t="s">
        <v>83</v>
      </c>
    </row>
    <row r="314" spans="1:7" x14ac:dyDescent="0.3">
      <c r="A314" s="48">
        <v>45664</v>
      </c>
      <c r="B314" s="1">
        <v>2025</v>
      </c>
      <c r="C314" s="1">
        <v>1</v>
      </c>
      <c r="D314" s="1" t="s">
        <v>147</v>
      </c>
      <c r="E314" s="1">
        <v>1</v>
      </c>
      <c r="F314" s="1" t="s">
        <v>136</v>
      </c>
      <c r="G314" s="1" t="s">
        <v>83</v>
      </c>
    </row>
    <row r="315" spans="1:7" x14ac:dyDescent="0.3">
      <c r="A315" s="48">
        <v>45665</v>
      </c>
      <c r="B315" s="1">
        <v>2025</v>
      </c>
      <c r="C315" s="1">
        <v>1</v>
      </c>
      <c r="D315" s="1" t="s">
        <v>147</v>
      </c>
      <c r="E315" s="1">
        <v>1</v>
      </c>
      <c r="F315" s="1" t="s">
        <v>137</v>
      </c>
      <c r="G315" s="1" t="s">
        <v>83</v>
      </c>
    </row>
    <row r="316" spans="1:7" x14ac:dyDescent="0.3">
      <c r="A316" s="48">
        <v>45666</v>
      </c>
      <c r="B316" s="1">
        <v>2025</v>
      </c>
      <c r="C316" s="1">
        <v>1</v>
      </c>
      <c r="D316" s="1" t="s">
        <v>147</v>
      </c>
      <c r="E316" s="1">
        <v>1</v>
      </c>
      <c r="F316" s="1" t="s">
        <v>138</v>
      </c>
      <c r="G316" s="1" t="s">
        <v>83</v>
      </c>
    </row>
    <row r="317" spans="1:7" x14ac:dyDescent="0.3">
      <c r="A317" s="48">
        <v>45667</v>
      </c>
      <c r="B317" s="1">
        <v>2025</v>
      </c>
      <c r="C317" s="1">
        <v>1</v>
      </c>
      <c r="D317" s="1" t="s">
        <v>147</v>
      </c>
      <c r="E317" s="1">
        <v>1</v>
      </c>
      <c r="F317" s="1" t="s">
        <v>131</v>
      </c>
      <c r="G317" s="1" t="s">
        <v>83</v>
      </c>
    </row>
    <row r="318" spans="1:7" x14ac:dyDescent="0.3">
      <c r="A318" s="48">
        <v>45668</v>
      </c>
      <c r="B318" s="1">
        <v>2025</v>
      </c>
      <c r="C318" s="1">
        <v>1</v>
      </c>
      <c r="D318" s="1" t="s">
        <v>147</v>
      </c>
      <c r="E318" s="1">
        <v>1</v>
      </c>
      <c r="F318" s="1" t="s">
        <v>132</v>
      </c>
      <c r="G318" s="1" t="s">
        <v>133</v>
      </c>
    </row>
    <row r="319" spans="1:7" x14ac:dyDescent="0.3">
      <c r="A319" s="48">
        <v>45669</v>
      </c>
      <c r="B319" s="1">
        <v>2025</v>
      </c>
      <c r="C319" s="1">
        <v>1</v>
      </c>
      <c r="D319" s="1" t="s">
        <v>147</v>
      </c>
      <c r="E319" s="1">
        <v>1</v>
      </c>
      <c r="F319" s="1" t="s">
        <v>134</v>
      </c>
      <c r="G319" s="1" t="s">
        <v>133</v>
      </c>
    </row>
    <row r="320" spans="1:7" x14ac:dyDescent="0.3">
      <c r="A320" s="48">
        <v>45670</v>
      </c>
      <c r="B320" s="1">
        <v>2025</v>
      </c>
      <c r="C320" s="1">
        <v>1</v>
      </c>
      <c r="D320" s="1" t="s">
        <v>147</v>
      </c>
      <c r="E320" s="1">
        <v>1</v>
      </c>
      <c r="F320" s="1" t="s">
        <v>135</v>
      </c>
      <c r="G320" s="1" t="s">
        <v>83</v>
      </c>
    </row>
    <row r="321" spans="1:7" x14ac:dyDescent="0.3">
      <c r="A321" s="48">
        <v>45671</v>
      </c>
      <c r="B321" s="1">
        <v>2025</v>
      </c>
      <c r="C321" s="1">
        <v>1</v>
      </c>
      <c r="D321" s="1" t="s">
        <v>147</v>
      </c>
      <c r="E321" s="1">
        <v>1</v>
      </c>
      <c r="F321" s="1" t="s">
        <v>136</v>
      </c>
      <c r="G321" s="1" t="s">
        <v>83</v>
      </c>
    </row>
    <row r="322" spans="1:7" x14ac:dyDescent="0.3">
      <c r="A322" s="48">
        <v>45672</v>
      </c>
      <c r="B322" s="1">
        <v>2025</v>
      </c>
      <c r="C322" s="1">
        <v>1</v>
      </c>
      <c r="D322" s="1" t="s">
        <v>147</v>
      </c>
      <c r="E322" s="1">
        <v>1</v>
      </c>
      <c r="F322" s="1" t="s">
        <v>137</v>
      </c>
      <c r="G322" s="1" t="s">
        <v>83</v>
      </c>
    </row>
    <row r="323" spans="1:7" x14ac:dyDescent="0.3">
      <c r="A323" s="48">
        <v>45673</v>
      </c>
      <c r="B323" s="1">
        <v>2025</v>
      </c>
      <c r="C323" s="1">
        <v>1</v>
      </c>
      <c r="D323" s="1" t="s">
        <v>147</v>
      </c>
      <c r="E323" s="1">
        <v>1</v>
      </c>
      <c r="F323" s="1" t="s">
        <v>138</v>
      </c>
      <c r="G323" s="1" t="s">
        <v>83</v>
      </c>
    </row>
    <row r="324" spans="1:7" x14ac:dyDescent="0.3">
      <c r="A324" s="48">
        <v>45674</v>
      </c>
      <c r="B324" s="1">
        <v>2025</v>
      </c>
      <c r="C324" s="1">
        <v>1</v>
      </c>
      <c r="D324" s="1" t="s">
        <v>147</v>
      </c>
      <c r="E324" s="1">
        <v>1</v>
      </c>
      <c r="F324" s="1" t="s">
        <v>131</v>
      </c>
      <c r="G324" s="1" t="s">
        <v>83</v>
      </c>
    </row>
    <row r="325" spans="1:7" x14ac:dyDescent="0.3">
      <c r="A325" s="48">
        <v>45675</v>
      </c>
      <c r="B325" s="1">
        <v>2025</v>
      </c>
      <c r="C325" s="1">
        <v>1</v>
      </c>
      <c r="D325" s="1" t="s">
        <v>147</v>
      </c>
      <c r="E325" s="1">
        <v>1</v>
      </c>
      <c r="F325" s="1" t="s">
        <v>132</v>
      </c>
      <c r="G325" s="1" t="s">
        <v>133</v>
      </c>
    </row>
    <row r="326" spans="1:7" x14ac:dyDescent="0.3">
      <c r="A326" s="48">
        <v>45676</v>
      </c>
      <c r="B326" s="1">
        <v>2025</v>
      </c>
      <c r="C326" s="1">
        <v>1</v>
      </c>
      <c r="D326" s="1" t="s">
        <v>147</v>
      </c>
      <c r="E326" s="1">
        <v>1</v>
      </c>
      <c r="F326" s="1" t="s">
        <v>134</v>
      </c>
      <c r="G326" s="1" t="s">
        <v>133</v>
      </c>
    </row>
    <row r="327" spans="1:7" x14ac:dyDescent="0.3">
      <c r="A327" s="48">
        <v>45677</v>
      </c>
      <c r="B327" s="1">
        <v>2025</v>
      </c>
      <c r="C327" s="1">
        <v>1</v>
      </c>
      <c r="D327" s="1" t="s">
        <v>147</v>
      </c>
      <c r="E327" s="1">
        <v>1</v>
      </c>
      <c r="F327" s="1" t="s">
        <v>135</v>
      </c>
      <c r="G327" s="1" t="s">
        <v>83</v>
      </c>
    </row>
    <row r="328" spans="1:7" x14ac:dyDescent="0.3">
      <c r="A328" s="48">
        <v>45678</v>
      </c>
      <c r="B328" s="1">
        <v>2025</v>
      </c>
      <c r="C328" s="1">
        <v>1</v>
      </c>
      <c r="D328" s="1" t="s">
        <v>147</v>
      </c>
      <c r="E328" s="1">
        <v>1</v>
      </c>
      <c r="F328" s="1" t="s">
        <v>136</v>
      </c>
      <c r="G328" s="1" t="s">
        <v>83</v>
      </c>
    </row>
    <row r="329" spans="1:7" x14ac:dyDescent="0.3">
      <c r="A329" s="48">
        <v>45679</v>
      </c>
      <c r="B329" s="1">
        <v>2025</v>
      </c>
      <c r="C329" s="1">
        <v>1</v>
      </c>
      <c r="D329" s="1" t="s">
        <v>147</v>
      </c>
      <c r="E329" s="1">
        <v>1</v>
      </c>
      <c r="F329" s="1" t="s">
        <v>137</v>
      </c>
      <c r="G329" s="1" t="s">
        <v>83</v>
      </c>
    </row>
    <row r="330" spans="1:7" x14ac:dyDescent="0.3">
      <c r="A330" s="48">
        <v>45680</v>
      </c>
      <c r="B330" s="1">
        <v>2025</v>
      </c>
      <c r="C330" s="1">
        <v>1</v>
      </c>
      <c r="D330" s="1" t="s">
        <v>147</v>
      </c>
      <c r="E330" s="1">
        <v>1</v>
      </c>
      <c r="F330" s="1" t="s">
        <v>138</v>
      </c>
      <c r="G330" s="1" t="s">
        <v>83</v>
      </c>
    </row>
    <row r="331" spans="1:7" x14ac:dyDescent="0.3">
      <c r="A331" s="48">
        <v>45681</v>
      </c>
      <c r="B331" s="1">
        <v>2025</v>
      </c>
      <c r="C331" s="1">
        <v>1</v>
      </c>
      <c r="D331" s="1" t="s">
        <v>147</v>
      </c>
      <c r="E331" s="1">
        <v>1</v>
      </c>
      <c r="F331" s="1" t="s">
        <v>131</v>
      </c>
      <c r="G331" s="1" t="s">
        <v>83</v>
      </c>
    </row>
    <row r="332" spans="1:7" x14ac:dyDescent="0.3">
      <c r="A332" s="48">
        <v>45682</v>
      </c>
      <c r="B332" s="1">
        <v>2025</v>
      </c>
      <c r="C332" s="1">
        <v>1</v>
      </c>
      <c r="D332" s="1" t="s">
        <v>147</v>
      </c>
      <c r="E332" s="1">
        <v>1</v>
      </c>
      <c r="F332" s="1" t="s">
        <v>132</v>
      </c>
      <c r="G332" s="1" t="s">
        <v>133</v>
      </c>
    </row>
    <row r="333" spans="1:7" x14ac:dyDescent="0.3">
      <c r="A333" s="48">
        <v>45683</v>
      </c>
      <c r="B333" s="1">
        <v>2025</v>
      </c>
      <c r="C333" s="1">
        <v>1</v>
      </c>
      <c r="D333" s="1" t="s">
        <v>147</v>
      </c>
      <c r="E333" s="1">
        <v>1</v>
      </c>
      <c r="F333" s="1" t="s">
        <v>134</v>
      </c>
      <c r="G333" s="1" t="s">
        <v>133</v>
      </c>
    </row>
    <row r="334" spans="1:7" x14ac:dyDescent="0.3">
      <c r="A334" s="48">
        <v>45684</v>
      </c>
      <c r="B334" s="1">
        <v>2025</v>
      </c>
      <c r="C334" s="1">
        <v>1</v>
      </c>
      <c r="D334" s="1" t="s">
        <v>147</v>
      </c>
      <c r="E334" s="1">
        <v>1</v>
      </c>
      <c r="F334" s="1" t="s">
        <v>135</v>
      </c>
      <c r="G334" s="1" t="s">
        <v>83</v>
      </c>
    </row>
    <row r="335" spans="1:7" x14ac:dyDescent="0.3">
      <c r="A335" s="48">
        <v>45685</v>
      </c>
      <c r="B335" s="1">
        <v>2025</v>
      </c>
      <c r="C335" s="1">
        <v>1</v>
      </c>
      <c r="D335" s="1" t="s">
        <v>147</v>
      </c>
      <c r="E335" s="1">
        <v>1</v>
      </c>
      <c r="F335" s="1" t="s">
        <v>136</v>
      </c>
      <c r="G335" s="1" t="s">
        <v>83</v>
      </c>
    </row>
    <row r="336" spans="1:7" x14ac:dyDescent="0.3">
      <c r="A336" s="48">
        <v>45686</v>
      </c>
      <c r="B336" s="1">
        <v>2025</v>
      </c>
      <c r="C336" s="1">
        <v>1</v>
      </c>
      <c r="D336" s="1" t="s">
        <v>147</v>
      </c>
      <c r="E336" s="1">
        <v>1</v>
      </c>
      <c r="F336" s="1" t="s">
        <v>137</v>
      </c>
      <c r="G336" s="1" t="s">
        <v>83</v>
      </c>
    </row>
    <row r="337" spans="1:7" x14ac:dyDescent="0.3">
      <c r="A337" s="48">
        <v>45687</v>
      </c>
      <c r="B337" s="1">
        <v>2025</v>
      </c>
      <c r="C337" s="1">
        <v>1</v>
      </c>
      <c r="D337" s="1" t="s">
        <v>147</v>
      </c>
      <c r="E337" s="1">
        <v>1</v>
      </c>
      <c r="F337" s="1" t="s">
        <v>138</v>
      </c>
      <c r="G337" s="1" t="s">
        <v>83</v>
      </c>
    </row>
    <row r="338" spans="1:7" x14ac:dyDescent="0.3">
      <c r="A338" s="48">
        <v>45688</v>
      </c>
      <c r="B338" s="1">
        <v>2025</v>
      </c>
      <c r="C338" s="1">
        <v>1</v>
      </c>
      <c r="D338" s="1" t="s">
        <v>147</v>
      </c>
      <c r="E338" s="1">
        <v>1</v>
      </c>
      <c r="F338" s="1" t="s">
        <v>131</v>
      </c>
      <c r="G338" s="1" t="s">
        <v>83</v>
      </c>
    </row>
    <row r="339" spans="1:7" x14ac:dyDescent="0.3">
      <c r="A339" s="48">
        <v>45689</v>
      </c>
      <c r="B339" s="1">
        <v>2025</v>
      </c>
      <c r="C339" s="1">
        <v>2</v>
      </c>
      <c r="D339" s="1" t="s">
        <v>148</v>
      </c>
      <c r="E339" s="1">
        <v>1</v>
      </c>
      <c r="F339" s="1" t="s">
        <v>132</v>
      </c>
      <c r="G339" s="1" t="s">
        <v>133</v>
      </c>
    </row>
    <row r="340" spans="1:7" x14ac:dyDescent="0.3">
      <c r="A340" s="48">
        <v>45690</v>
      </c>
      <c r="B340" s="1">
        <v>2025</v>
      </c>
      <c r="C340" s="1">
        <v>2</v>
      </c>
      <c r="D340" s="1" t="s">
        <v>148</v>
      </c>
      <c r="E340" s="1">
        <v>1</v>
      </c>
      <c r="F340" s="1" t="s">
        <v>134</v>
      </c>
      <c r="G340" s="1" t="s">
        <v>133</v>
      </c>
    </row>
    <row r="341" spans="1:7" x14ac:dyDescent="0.3">
      <c r="A341" s="48">
        <v>45691</v>
      </c>
      <c r="B341" s="1">
        <v>2025</v>
      </c>
      <c r="C341" s="1">
        <v>2</v>
      </c>
      <c r="D341" s="1" t="s">
        <v>148</v>
      </c>
      <c r="E341" s="1">
        <v>1</v>
      </c>
      <c r="F341" s="1" t="s">
        <v>135</v>
      </c>
      <c r="G341" s="1" t="s">
        <v>83</v>
      </c>
    </row>
    <row r="342" spans="1:7" x14ac:dyDescent="0.3">
      <c r="A342" s="48">
        <v>45692</v>
      </c>
      <c r="B342" s="1">
        <v>2025</v>
      </c>
      <c r="C342" s="1">
        <v>2</v>
      </c>
      <c r="D342" s="1" t="s">
        <v>148</v>
      </c>
      <c r="E342" s="1">
        <v>1</v>
      </c>
      <c r="F342" s="1" t="s">
        <v>136</v>
      </c>
      <c r="G342" s="1" t="s">
        <v>83</v>
      </c>
    </row>
    <row r="343" spans="1:7" x14ac:dyDescent="0.3">
      <c r="A343" s="48">
        <v>45693</v>
      </c>
      <c r="B343" s="1">
        <v>2025</v>
      </c>
      <c r="C343" s="1">
        <v>2</v>
      </c>
      <c r="D343" s="1" t="s">
        <v>148</v>
      </c>
      <c r="E343" s="1">
        <v>1</v>
      </c>
      <c r="F343" s="1" t="s">
        <v>137</v>
      </c>
      <c r="G343" s="1" t="s">
        <v>83</v>
      </c>
    </row>
    <row r="344" spans="1:7" x14ac:dyDescent="0.3">
      <c r="A344" s="48">
        <v>45694</v>
      </c>
      <c r="B344" s="1">
        <v>2025</v>
      </c>
      <c r="C344" s="1">
        <v>2</v>
      </c>
      <c r="D344" s="1" t="s">
        <v>148</v>
      </c>
      <c r="E344" s="1">
        <v>1</v>
      </c>
      <c r="F344" s="1" t="s">
        <v>138</v>
      </c>
      <c r="G344" s="1" t="s">
        <v>83</v>
      </c>
    </row>
    <row r="345" spans="1:7" x14ac:dyDescent="0.3">
      <c r="A345" s="48">
        <v>45695</v>
      </c>
      <c r="B345" s="1">
        <v>2025</v>
      </c>
      <c r="C345" s="1">
        <v>2</v>
      </c>
      <c r="D345" s="1" t="s">
        <v>148</v>
      </c>
      <c r="E345" s="1">
        <v>1</v>
      </c>
      <c r="F345" s="1" t="s">
        <v>131</v>
      </c>
      <c r="G345" s="1" t="s">
        <v>83</v>
      </c>
    </row>
    <row r="346" spans="1:7" x14ac:dyDescent="0.3">
      <c r="A346" s="48">
        <v>45696</v>
      </c>
      <c r="B346" s="1">
        <v>2025</v>
      </c>
      <c r="C346" s="1">
        <v>2</v>
      </c>
      <c r="D346" s="1" t="s">
        <v>148</v>
      </c>
      <c r="E346" s="1">
        <v>1</v>
      </c>
      <c r="F346" s="1" t="s">
        <v>132</v>
      </c>
      <c r="G346" s="1" t="s">
        <v>133</v>
      </c>
    </row>
    <row r="347" spans="1:7" x14ac:dyDescent="0.3">
      <c r="A347" s="48">
        <v>45697</v>
      </c>
      <c r="B347" s="1">
        <v>2025</v>
      </c>
      <c r="C347" s="1">
        <v>2</v>
      </c>
      <c r="D347" s="1" t="s">
        <v>148</v>
      </c>
      <c r="E347" s="1">
        <v>1</v>
      </c>
      <c r="F347" s="1" t="s">
        <v>134</v>
      </c>
      <c r="G347" s="1" t="s">
        <v>133</v>
      </c>
    </row>
    <row r="348" spans="1:7" x14ac:dyDescent="0.3">
      <c r="A348" s="48">
        <v>45698</v>
      </c>
      <c r="B348" s="1">
        <v>2025</v>
      </c>
      <c r="C348" s="1">
        <v>2</v>
      </c>
      <c r="D348" s="1" t="s">
        <v>148</v>
      </c>
      <c r="E348" s="1">
        <v>1</v>
      </c>
      <c r="F348" s="1" t="s">
        <v>135</v>
      </c>
      <c r="G348" s="1" t="s">
        <v>83</v>
      </c>
    </row>
    <row r="349" spans="1:7" x14ac:dyDescent="0.3">
      <c r="A349" s="48">
        <v>45699</v>
      </c>
      <c r="B349" s="1">
        <v>2025</v>
      </c>
      <c r="C349" s="1">
        <v>2</v>
      </c>
      <c r="D349" s="1" t="s">
        <v>148</v>
      </c>
      <c r="E349" s="1">
        <v>1</v>
      </c>
      <c r="F349" s="1" t="s">
        <v>136</v>
      </c>
      <c r="G349" s="1" t="s">
        <v>83</v>
      </c>
    </row>
    <row r="350" spans="1:7" x14ac:dyDescent="0.3">
      <c r="A350" s="48">
        <v>45700</v>
      </c>
      <c r="B350" s="1">
        <v>2025</v>
      </c>
      <c r="C350" s="1">
        <v>2</v>
      </c>
      <c r="D350" s="1" t="s">
        <v>148</v>
      </c>
      <c r="E350" s="1">
        <v>1</v>
      </c>
      <c r="F350" s="1" t="s">
        <v>137</v>
      </c>
      <c r="G350" s="1" t="s">
        <v>83</v>
      </c>
    </row>
    <row r="351" spans="1:7" x14ac:dyDescent="0.3">
      <c r="A351" s="48">
        <v>45701</v>
      </c>
      <c r="B351" s="1">
        <v>2025</v>
      </c>
      <c r="C351" s="1">
        <v>2</v>
      </c>
      <c r="D351" s="1" t="s">
        <v>148</v>
      </c>
      <c r="E351" s="1">
        <v>1</v>
      </c>
      <c r="F351" s="1" t="s">
        <v>138</v>
      </c>
      <c r="G351" s="1" t="s">
        <v>83</v>
      </c>
    </row>
    <row r="352" spans="1:7" x14ac:dyDescent="0.3">
      <c r="A352" s="48">
        <v>45702</v>
      </c>
      <c r="B352" s="1">
        <v>2025</v>
      </c>
      <c r="C352" s="1">
        <v>2</v>
      </c>
      <c r="D352" s="1" t="s">
        <v>148</v>
      </c>
      <c r="E352" s="1">
        <v>1</v>
      </c>
      <c r="F352" s="1" t="s">
        <v>131</v>
      </c>
      <c r="G352" s="1" t="s">
        <v>83</v>
      </c>
    </row>
    <row r="353" spans="1:7" x14ac:dyDescent="0.3">
      <c r="A353" s="48">
        <v>45703</v>
      </c>
      <c r="B353" s="1">
        <v>2025</v>
      </c>
      <c r="C353" s="1">
        <v>2</v>
      </c>
      <c r="D353" s="1" t="s">
        <v>148</v>
      </c>
      <c r="E353" s="1">
        <v>1</v>
      </c>
      <c r="F353" s="1" t="s">
        <v>132</v>
      </c>
      <c r="G353" s="1" t="s">
        <v>133</v>
      </c>
    </row>
    <row r="354" spans="1:7" x14ac:dyDescent="0.3">
      <c r="A354" s="48">
        <v>45704</v>
      </c>
      <c r="B354" s="1">
        <v>2025</v>
      </c>
      <c r="C354" s="1">
        <v>2</v>
      </c>
      <c r="D354" s="1" t="s">
        <v>148</v>
      </c>
      <c r="E354" s="1">
        <v>1</v>
      </c>
      <c r="F354" s="1" t="s">
        <v>134</v>
      </c>
      <c r="G354" s="1" t="s">
        <v>133</v>
      </c>
    </row>
    <row r="355" spans="1:7" x14ac:dyDescent="0.3">
      <c r="A355" s="48">
        <v>45705</v>
      </c>
      <c r="B355" s="1">
        <v>2025</v>
      </c>
      <c r="C355" s="1">
        <v>2</v>
      </c>
      <c r="D355" s="1" t="s">
        <v>148</v>
      </c>
      <c r="E355" s="1">
        <v>1</v>
      </c>
      <c r="F355" s="1" t="s">
        <v>135</v>
      </c>
      <c r="G355" s="1" t="s">
        <v>83</v>
      </c>
    </row>
    <row r="356" spans="1:7" x14ac:dyDescent="0.3">
      <c r="A356" s="48">
        <v>45706</v>
      </c>
      <c r="B356" s="1">
        <v>2025</v>
      </c>
      <c r="C356" s="1">
        <v>2</v>
      </c>
      <c r="D356" s="1" t="s">
        <v>148</v>
      </c>
      <c r="E356" s="1">
        <v>1</v>
      </c>
      <c r="F356" s="1" t="s">
        <v>136</v>
      </c>
      <c r="G356" s="1" t="s">
        <v>83</v>
      </c>
    </row>
    <row r="357" spans="1:7" x14ac:dyDescent="0.3">
      <c r="A357" s="48">
        <v>45707</v>
      </c>
      <c r="B357" s="1">
        <v>2025</v>
      </c>
      <c r="C357" s="1">
        <v>2</v>
      </c>
      <c r="D357" s="1" t="s">
        <v>148</v>
      </c>
      <c r="E357" s="1">
        <v>1</v>
      </c>
      <c r="F357" s="1" t="s">
        <v>137</v>
      </c>
      <c r="G357" s="1" t="s">
        <v>83</v>
      </c>
    </row>
    <row r="358" spans="1:7" x14ac:dyDescent="0.3">
      <c r="A358" s="48">
        <v>45708</v>
      </c>
      <c r="B358" s="1">
        <v>2025</v>
      </c>
      <c r="C358" s="1">
        <v>2</v>
      </c>
      <c r="D358" s="1" t="s">
        <v>148</v>
      </c>
      <c r="E358" s="1">
        <v>1</v>
      </c>
      <c r="F358" s="1" t="s">
        <v>138</v>
      </c>
      <c r="G358" s="1" t="s">
        <v>83</v>
      </c>
    </row>
    <row r="359" spans="1:7" x14ac:dyDescent="0.3">
      <c r="A359" s="48">
        <v>45709</v>
      </c>
      <c r="B359" s="1">
        <v>2025</v>
      </c>
      <c r="C359" s="1">
        <v>2</v>
      </c>
      <c r="D359" s="1" t="s">
        <v>148</v>
      </c>
      <c r="E359" s="1">
        <v>1</v>
      </c>
      <c r="F359" s="1" t="s">
        <v>131</v>
      </c>
      <c r="G359" s="1" t="s">
        <v>83</v>
      </c>
    </row>
    <row r="360" spans="1:7" x14ac:dyDescent="0.3">
      <c r="A360" s="48">
        <v>45710</v>
      </c>
      <c r="B360" s="1">
        <v>2025</v>
      </c>
      <c r="C360" s="1">
        <v>2</v>
      </c>
      <c r="D360" s="1" t="s">
        <v>148</v>
      </c>
      <c r="E360" s="1">
        <v>1</v>
      </c>
      <c r="F360" s="1" t="s">
        <v>132</v>
      </c>
      <c r="G360" s="1" t="s">
        <v>133</v>
      </c>
    </row>
    <row r="361" spans="1:7" x14ac:dyDescent="0.3">
      <c r="A361" s="48">
        <v>45711</v>
      </c>
      <c r="B361" s="1">
        <v>2025</v>
      </c>
      <c r="C361" s="1">
        <v>2</v>
      </c>
      <c r="D361" s="1" t="s">
        <v>148</v>
      </c>
      <c r="E361" s="1">
        <v>1</v>
      </c>
      <c r="F361" s="1" t="s">
        <v>134</v>
      </c>
      <c r="G361" s="1" t="s">
        <v>133</v>
      </c>
    </row>
    <row r="362" spans="1:7" x14ac:dyDescent="0.3">
      <c r="A362" s="48">
        <v>45712</v>
      </c>
      <c r="B362" s="1">
        <v>2025</v>
      </c>
      <c r="C362" s="1">
        <v>2</v>
      </c>
      <c r="D362" s="1" t="s">
        <v>148</v>
      </c>
      <c r="E362" s="1">
        <v>1</v>
      </c>
      <c r="F362" s="1" t="s">
        <v>135</v>
      </c>
      <c r="G362" s="1" t="s">
        <v>83</v>
      </c>
    </row>
    <row r="363" spans="1:7" x14ac:dyDescent="0.3">
      <c r="A363" s="48">
        <v>45713</v>
      </c>
      <c r="B363" s="1">
        <v>2025</v>
      </c>
      <c r="C363" s="1">
        <v>2</v>
      </c>
      <c r="D363" s="1" t="s">
        <v>148</v>
      </c>
      <c r="E363" s="1">
        <v>1</v>
      </c>
      <c r="F363" s="1" t="s">
        <v>136</v>
      </c>
      <c r="G363" s="1" t="s">
        <v>83</v>
      </c>
    </row>
    <row r="364" spans="1:7" x14ac:dyDescent="0.3">
      <c r="A364" s="48">
        <v>45714</v>
      </c>
      <c r="B364" s="1">
        <v>2025</v>
      </c>
      <c r="C364" s="1">
        <v>2</v>
      </c>
      <c r="D364" s="1" t="s">
        <v>148</v>
      </c>
      <c r="E364" s="1">
        <v>1</v>
      </c>
      <c r="F364" s="1" t="s">
        <v>137</v>
      </c>
      <c r="G364" s="1" t="s">
        <v>83</v>
      </c>
    </row>
    <row r="365" spans="1:7" x14ac:dyDescent="0.3">
      <c r="A365" s="48">
        <v>45715</v>
      </c>
      <c r="B365" s="1">
        <v>2025</v>
      </c>
      <c r="C365" s="1">
        <v>2</v>
      </c>
      <c r="D365" s="1" t="s">
        <v>148</v>
      </c>
      <c r="E365" s="1">
        <v>1</v>
      </c>
      <c r="F365" s="1" t="s">
        <v>138</v>
      </c>
      <c r="G365" s="1" t="s">
        <v>83</v>
      </c>
    </row>
    <row r="366" spans="1:7" x14ac:dyDescent="0.3">
      <c r="A366" s="48">
        <v>45716</v>
      </c>
      <c r="B366" s="1">
        <v>2025</v>
      </c>
      <c r="C366" s="1">
        <v>2</v>
      </c>
      <c r="D366" s="1" t="s">
        <v>148</v>
      </c>
      <c r="E366" s="1">
        <v>1</v>
      </c>
      <c r="F366" s="1" t="s">
        <v>131</v>
      </c>
      <c r="G366" s="1" t="s">
        <v>83</v>
      </c>
    </row>
    <row r="367" spans="1:7" x14ac:dyDescent="0.3">
      <c r="A367" s="48">
        <v>45717</v>
      </c>
      <c r="B367" s="1">
        <v>2025</v>
      </c>
      <c r="C367" s="1">
        <v>3</v>
      </c>
      <c r="D367" s="1" t="s">
        <v>130</v>
      </c>
      <c r="E367" s="1">
        <v>1</v>
      </c>
      <c r="F367" s="1" t="s">
        <v>132</v>
      </c>
      <c r="G367" s="1" t="s">
        <v>133</v>
      </c>
    </row>
    <row r="368" spans="1:7" x14ac:dyDescent="0.3">
      <c r="A368" s="48">
        <v>45718</v>
      </c>
      <c r="B368" s="1">
        <v>2025</v>
      </c>
      <c r="C368" s="1">
        <v>3</v>
      </c>
      <c r="D368" s="1" t="s">
        <v>130</v>
      </c>
      <c r="E368" s="1">
        <v>1</v>
      </c>
      <c r="F368" s="1" t="s">
        <v>134</v>
      </c>
      <c r="G368" s="1" t="s">
        <v>133</v>
      </c>
    </row>
    <row r="369" spans="1:7" x14ac:dyDescent="0.3">
      <c r="A369" s="48">
        <v>45719</v>
      </c>
      <c r="B369" s="1">
        <v>2025</v>
      </c>
      <c r="C369" s="1">
        <v>3</v>
      </c>
      <c r="D369" s="1" t="s">
        <v>130</v>
      </c>
      <c r="E369" s="1">
        <v>1</v>
      </c>
      <c r="F369" s="1" t="s">
        <v>135</v>
      </c>
      <c r="G369" s="1" t="s">
        <v>83</v>
      </c>
    </row>
    <row r="370" spans="1:7" x14ac:dyDescent="0.3">
      <c r="A370" s="48">
        <v>45720</v>
      </c>
      <c r="B370" s="1">
        <v>2025</v>
      </c>
      <c r="C370" s="1">
        <v>3</v>
      </c>
      <c r="D370" s="1" t="s">
        <v>130</v>
      </c>
      <c r="E370" s="1">
        <v>1</v>
      </c>
      <c r="F370" s="1" t="s">
        <v>136</v>
      </c>
      <c r="G370" s="1" t="s">
        <v>83</v>
      </c>
    </row>
    <row r="371" spans="1:7" x14ac:dyDescent="0.3">
      <c r="A371" s="48">
        <v>45721</v>
      </c>
      <c r="B371" s="1">
        <v>2025</v>
      </c>
      <c r="C371" s="1">
        <v>3</v>
      </c>
      <c r="D371" s="1" t="s">
        <v>130</v>
      </c>
      <c r="E371" s="1">
        <v>1</v>
      </c>
      <c r="F371" s="1" t="s">
        <v>137</v>
      </c>
      <c r="G371" s="1" t="s">
        <v>83</v>
      </c>
    </row>
    <row r="372" spans="1:7" x14ac:dyDescent="0.3">
      <c r="A372" s="48">
        <v>45722</v>
      </c>
      <c r="B372" s="1">
        <v>2025</v>
      </c>
      <c r="C372" s="1">
        <v>3</v>
      </c>
      <c r="D372" s="1" t="s">
        <v>130</v>
      </c>
      <c r="E372" s="1">
        <v>1</v>
      </c>
      <c r="F372" s="1" t="s">
        <v>138</v>
      </c>
      <c r="G372" s="1" t="s">
        <v>83</v>
      </c>
    </row>
    <row r="373" spans="1:7" x14ac:dyDescent="0.3">
      <c r="A373" s="48">
        <v>45723</v>
      </c>
      <c r="B373" s="1">
        <v>2025</v>
      </c>
      <c r="C373" s="1">
        <v>3</v>
      </c>
      <c r="D373" s="1" t="s">
        <v>130</v>
      </c>
      <c r="E373" s="1">
        <v>1</v>
      </c>
      <c r="F373" s="1" t="s">
        <v>131</v>
      </c>
      <c r="G373" s="1" t="s">
        <v>83</v>
      </c>
    </row>
    <row r="374" spans="1:7" x14ac:dyDescent="0.3">
      <c r="A374" s="48">
        <v>45724</v>
      </c>
      <c r="B374" s="1">
        <v>2025</v>
      </c>
      <c r="C374" s="1">
        <v>3</v>
      </c>
      <c r="D374" s="1" t="s">
        <v>130</v>
      </c>
      <c r="E374" s="1">
        <v>1</v>
      </c>
      <c r="F374" s="1" t="s">
        <v>132</v>
      </c>
      <c r="G374" s="1" t="s">
        <v>133</v>
      </c>
    </row>
    <row r="375" spans="1:7" x14ac:dyDescent="0.3">
      <c r="A375" s="48">
        <v>45725</v>
      </c>
      <c r="B375" s="1">
        <v>2025</v>
      </c>
      <c r="C375" s="1">
        <v>3</v>
      </c>
      <c r="D375" s="1" t="s">
        <v>130</v>
      </c>
      <c r="E375" s="1">
        <v>1</v>
      </c>
      <c r="F375" s="1" t="s">
        <v>134</v>
      </c>
      <c r="G375" s="1" t="s">
        <v>133</v>
      </c>
    </row>
    <row r="376" spans="1:7" x14ac:dyDescent="0.3">
      <c r="A376" s="48">
        <v>45726</v>
      </c>
      <c r="B376" s="1">
        <v>2025</v>
      </c>
      <c r="C376" s="1">
        <v>3</v>
      </c>
      <c r="D376" s="1" t="s">
        <v>130</v>
      </c>
      <c r="E376" s="1">
        <v>1</v>
      </c>
      <c r="F376" s="1" t="s">
        <v>135</v>
      </c>
      <c r="G376" s="1" t="s">
        <v>83</v>
      </c>
    </row>
    <row r="377" spans="1:7" x14ac:dyDescent="0.3">
      <c r="A377" s="48">
        <v>45727</v>
      </c>
      <c r="B377" s="1">
        <v>2025</v>
      </c>
      <c r="C377" s="1">
        <v>3</v>
      </c>
      <c r="D377" s="1" t="s">
        <v>130</v>
      </c>
      <c r="E377" s="1">
        <v>1</v>
      </c>
      <c r="F377" s="1" t="s">
        <v>136</v>
      </c>
      <c r="G377" s="1" t="s">
        <v>83</v>
      </c>
    </row>
    <row r="378" spans="1:7" x14ac:dyDescent="0.3">
      <c r="A378" s="48">
        <v>45728</v>
      </c>
      <c r="B378" s="1">
        <v>2025</v>
      </c>
      <c r="C378" s="1">
        <v>3</v>
      </c>
      <c r="D378" s="1" t="s">
        <v>130</v>
      </c>
      <c r="E378" s="1">
        <v>1</v>
      </c>
      <c r="F378" s="1" t="s">
        <v>137</v>
      </c>
      <c r="G378" s="1" t="s">
        <v>83</v>
      </c>
    </row>
    <row r="379" spans="1:7" x14ac:dyDescent="0.3">
      <c r="A379" s="48">
        <v>45729</v>
      </c>
      <c r="B379" s="1">
        <v>2025</v>
      </c>
      <c r="C379" s="1">
        <v>3</v>
      </c>
      <c r="D379" s="1" t="s">
        <v>130</v>
      </c>
      <c r="E379" s="1">
        <v>1</v>
      </c>
      <c r="F379" s="1" t="s">
        <v>138</v>
      </c>
      <c r="G379" s="1" t="s">
        <v>83</v>
      </c>
    </row>
    <row r="380" spans="1:7" x14ac:dyDescent="0.3">
      <c r="A380" s="48">
        <v>45730</v>
      </c>
      <c r="B380" s="1">
        <v>2025</v>
      </c>
      <c r="C380" s="1">
        <v>3</v>
      </c>
      <c r="D380" s="1" t="s">
        <v>130</v>
      </c>
      <c r="E380" s="1">
        <v>1</v>
      </c>
      <c r="F380" s="1" t="s">
        <v>131</v>
      </c>
      <c r="G380" s="1" t="s">
        <v>83</v>
      </c>
    </row>
    <row r="381" spans="1:7" x14ac:dyDescent="0.3">
      <c r="A381" s="48">
        <v>45731</v>
      </c>
      <c r="B381" s="1">
        <v>2025</v>
      </c>
      <c r="C381" s="1">
        <v>3</v>
      </c>
      <c r="D381" s="1" t="s">
        <v>130</v>
      </c>
      <c r="E381" s="1">
        <v>1</v>
      </c>
      <c r="F381" s="1" t="s">
        <v>132</v>
      </c>
      <c r="G381" s="1" t="s">
        <v>133</v>
      </c>
    </row>
    <row r="382" spans="1:7" x14ac:dyDescent="0.3">
      <c r="A382" s="48">
        <v>45732</v>
      </c>
      <c r="B382" s="1">
        <v>2025</v>
      </c>
      <c r="C382" s="1">
        <v>3</v>
      </c>
      <c r="D382" s="1" t="s">
        <v>130</v>
      </c>
      <c r="E382" s="1">
        <v>1</v>
      </c>
      <c r="F382" s="1" t="s">
        <v>134</v>
      </c>
      <c r="G382" s="1" t="s">
        <v>133</v>
      </c>
    </row>
    <row r="383" spans="1:7" x14ac:dyDescent="0.3">
      <c r="A383" s="48">
        <v>45733</v>
      </c>
      <c r="B383" s="1">
        <v>2025</v>
      </c>
      <c r="C383" s="1">
        <v>3</v>
      </c>
      <c r="D383" s="1" t="s">
        <v>130</v>
      </c>
      <c r="E383" s="1">
        <v>1</v>
      </c>
      <c r="F383" s="1" t="s">
        <v>135</v>
      </c>
      <c r="G383" s="1" t="s">
        <v>83</v>
      </c>
    </row>
    <row r="384" spans="1:7" x14ac:dyDescent="0.3">
      <c r="A384" s="48">
        <v>45734</v>
      </c>
      <c r="B384" s="1">
        <v>2025</v>
      </c>
      <c r="C384" s="1">
        <v>3</v>
      </c>
      <c r="D384" s="1" t="s">
        <v>130</v>
      </c>
      <c r="E384" s="1">
        <v>1</v>
      </c>
      <c r="F384" s="1" t="s">
        <v>136</v>
      </c>
      <c r="G384" s="1" t="s">
        <v>83</v>
      </c>
    </row>
    <row r="385" spans="1:7" x14ac:dyDescent="0.3">
      <c r="A385" s="48">
        <v>45735</v>
      </c>
      <c r="B385" s="1">
        <v>2025</v>
      </c>
      <c r="C385" s="1">
        <v>3</v>
      </c>
      <c r="D385" s="1" t="s">
        <v>130</v>
      </c>
      <c r="E385" s="1">
        <v>1</v>
      </c>
      <c r="F385" s="1" t="s">
        <v>137</v>
      </c>
      <c r="G385" s="1" t="s">
        <v>83</v>
      </c>
    </row>
    <row r="386" spans="1:7" x14ac:dyDescent="0.3">
      <c r="A386" s="48">
        <v>45736</v>
      </c>
      <c r="B386" s="1">
        <v>2025</v>
      </c>
      <c r="C386" s="1">
        <v>3</v>
      </c>
      <c r="D386" s="1" t="s">
        <v>130</v>
      </c>
      <c r="E386" s="1">
        <v>1</v>
      </c>
      <c r="F386" s="1" t="s">
        <v>138</v>
      </c>
      <c r="G386" s="1" t="s">
        <v>83</v>
      </c>
    </row>
    <row r="387" spans="1:7" x14ac:dyDescent="0.3">
      <c r="A387" s="48">
        <v>45737</v>
      </c>
      <c r="B387" s="1">
        <v>2025</v>
      </c>
      <c r="C387" s="1">
        <v>3</v>
      </c>
      <c r="D387" s="1" t="s">
        <v>130</v>
      </c>
      <c r="E387" s="1">
        <v>1</v>
      </c>
      <c r="F387" s="1" t="s">
        <v>131</v>
      </c>
      <c r="G387" s="1" t="s">
        <v>83</v>
      </c>
    </row>
    <row r="388" spans="1:7" x14ac:dyDescent="0.3">
      <c r="A388" s="48">
        <v>45738</v>
      </c>
      <c r="B388" s="1">
        <v>2025</v>
      </c>
      <c r="C388" s="1">
        <v>3</v>
      </c>
      <c r="D388" s="1" t="s">
        <v>130</v>
      </c>
      <c r="E388" s="1">
        <v>1</v>
      </c>
      <c r="F388" s="1" t="s">
        <v>132</v>
      </c>
      <c r="G388" s="1" t="s">
        <v>133</v>
      </c>
    </row>
    <row r="389" spans="1:7" x14ac:dyDescent="0.3">
      <c r="A389" s="48">
        <v>45739</v>
      </c>
      <c r="B389" s="1">
        <v>2025</v>
      </c>
      <c r="C389" s="1">
        <v>3</v>
      </c>
      <c r="D389" s="1" t="s">
        <v>130</v>
      </c>
      <c r="E389" s="1">
        <v>1</v>
      </c>
      <c r="F389" s="1" t="s">
        <v>134</v>
      </c>
      <c r="G389" s="1" t="s">
        <v>133</v>
      </c>
    </row>
    <row r="390" spans="1:7" x14ac:dyDescent="0.3">
      <c r="A390" s="48">
        <v>45740</v>
      </c>
      <c r="B390" s="1">
        <v>2025</v>
      </c>
      <c r="C390" s="1">
        <v>3</v>
      </c>
      <c r="D390" s="1" t="s">
        <v>130</v>
      </c>
      <c r="E390" s="1">
        <v>1</v>
      </c>
      <c r="F390" s="1" t="s">
        <v>135</v>
      </c>
      <c r="G390" s="1" t="s">
        <v>83</v>
      </c>
    </row>
    <row r="391" spans="1:7" x14ac:dyDescent="0.3">
      <c r="A391" s="48">
        <v>45741</v>
      </c>
      <c r="B391" s="1">
        <v>2025</v>
      </c>
      <c r="C391" s="1">
        <v>3</v>
      </c>
      <c r="D391" s="1" t="s">
        <v>130</v>
      </c>
      <c r="E391" s="1">
        <v>1</v>
      </c>
      <c r="F391" s="1" t="s">
        <v>136</v>
      </c>
      <c r="G391" s="1" t="s">
        <v>83</v>
      </c>
    </row>
    <row r="392" spans="1:7" x14ac:dyDescent="0.3">
      <c r="A392" s="48">
        <v>45742</v>
      </c>
      <c r="B392" s="1">
        <v>2025</v>
      </c>
      <c r="C392" s="1">
        <v>3</v>
      </c>
      <c r="D392" s="1" t="s">
        <v>130</v>
      </c>
      <c r="E392" s="1">
        <v>1</v>
      </c>
      <c r="F392" s="1" t="s">
        <v>137</v>
      </c>
      <c r="G392" s="1" t="s">
        <v>83</v>
      </c>
    </row>
    <row r="393" spans="1:7" x14ac:dyDescent="0.3">
      <c r="A393" s="48">
        <v>45743</v>
      </c>
      <c r="B393" s="1">
        <v>2025</v>
      </c>
      <c r="C393" s="1">
        <v>3</v>
      </c>
      <c r="D393" s="1" t="s">
        <v>130</v>
      </c>
      <c r="E393" s="1">
        <v>1</v>
      </c>
      <c r="F393" s="1" t="s">
        <v>138</v>
      </c>
      <c r="G393" s="1" t="s">
        <v>83</v>
      </c>
    </row>
    <row r="394" spans="1:7" x14ac:dyDescent="0.3">
      <c r="A394" s="48">
        <v>45744</v>
      </c>
      <c r="B394" s="1">
        <v>2025</v>
      </c>
      <c r="C394" s="1">
        <v>3</v>
      </c>
      <c r="D394" s="1" t="s">
        <v>130</v>
      </c>
      <c r="E394" s="1">
        <v>1</v>
      </c>
      <c r="F394" s="1" t="s">
        <v>131</v>
      </c>
      <c r="G394" s="1" t="s">
        <v>83</v>
      </c>
    </row>
    <row r="395" spans="1:7" x14ac:dyDescent="0.3">
      <c r="A395" s="48">
        <v>45745</v>
      </c>
      <c r="B395" s="1">
        <v>2025</v>
      </c>
      <c r="C395" s="1">
        <v>3</v>
      </c>
      <c r="D395" s="1" t="s">
        <v>130</v>
      </c>
      <c r="E395" s="1">
        <v>1</v>
      </c>
      <c r="F395" s="1" t="s">
        <v>132</v>
      </c>
      <c r="G395" s="1" t="s">
        <v>133</v>
      </c>
    </row>
    <row r="396" spans="1:7" x14ac:dyDescent="0.3">
      <c r="A396" s="48">
        <v>45746</v>
      </c>
      <c r="B396" s="1">
        <v>2025</v>
      </c>
      <c r="C396" s="1">
        <v>3</v>
      </c>
      <c r="D396" s="1" t="s">
        <v>130</v>
      </c>
      <c r="E396" s="1">
        <v>1</v>
      </c>
      <c r="F396" s="1" t="s">
        <v>134</v>
      </c>
      <c r="G396" s="1" t="s">
        <v>133</v>
      </c>
    </row>
    <row r="397" spans="1:7" x14ac:dyDescent="0.3">
      <c r="A397" s="48">
        <v>45747</v>
      </c>
      <c r="B397" s="1">
        <v>2025</v>
      </c>
      <c r="C397" s="1">
        <v>3</v>
      </c>
      <c r="D397" s="1" t="s">
        <v>130</v>
      </c>
      <c r="E397" s="1">
        <v>1</v>
      </c>
      <c r="F397" s="1" t="s">
        <v>135</v>
      </c>
      <c r="G397" s="1" t="s">
        <v>83</v>
      </c>
    </row>
    <row r="398" spans="1:7" x14ac:dyDescent="0.3">
      <c r="A398" s="48">
        <v>45748</v>
      </c>
      <c r="B398" s="1">
        <v>2025</v>
      </c>
      <c r="C398" s="1">
        <v>4</v>
      </c>
      <c r="D398" s="1" t="s">
        <v>139</v>
      </c>
      <c r="E398" s="1">
        <v>2</v>
      </c>
      <c r="F398" s="1" t="s">
        <v>136</v>
      </c>
      <c r="G398" s="1" t="s">
        <v>83</v>
      </c>
    </row>
    <row r="399" spans="1:7" x14ac:dyDescent="0.3">
      <c r="A399" s="48">
        <v>45749</v>
      </c>
      <c r="B399" s="1">
        <v>2025</v>
      </c>
      <c r="C399" s="1">
        <v>4</v>
      </c>
      <c r="D399" s="1" t="s">
        <v>139</v>
      </c>
      <c r="E399" s="1">
        <v>2</v>
      </c>
      <c r="F399" s="1" t="s">
        <v>137</v>
      </c>
      <c r="G399" s="1" t="s">
        <v>83</v>
      </c>
    </row>
    <row r="400" spans="1:7" x14ac:dyDescent="0.3">
      <c r="A400" s="48">
        <v>45750</v>
      </c>
      <c r="B400" s="1">
        <v>2025</v>
      </c>
      <c r="C400" s="1">
        <v>4</v>
      </c>
      <c r="D400" s="1" t="s">
        <v>139</v>
      </c>
      <c r="E400" s="1">
        <v>2</v>
      </c>
      <c r="F400" s="1" t="s">
        <v>138</v>
      </c>
      <c r="G400" s="1" t="s">
        <v>83</v>
      </c>
    </row>
    <row r="401" spans="1:7" x14ac:dyDescent="0.3">
      <c r="A401" s="48">
        <v>45751</v>
      </c>
      <c r="B401" s="1">
        <v>2025</v>
      </c>
      <c r="C401" s="1">
        <v>4</v>
      </c>
      <c r="D401" s="1" t="s">
        <v>139</v>
      </c>
      <c r="E401" s="1">
        <v>2</v>
      </c>
      <c r="F401" s="1" t="s">
        <v>131</v>
      </c>
      <c r="G401" s="1" t="s">
        <v>83</v>
      </c>
    </row>
    <row r="402" spans="1:7" x14ac:dyDescent="0.3">
      <c r="A402" s="48">
        <v>45752</v>
      </c>
      <c r="B402" s="1">
        <v>2025</v>
      </c>
      <c r="C402" s="1">
        <v>4</v>
      </c>
      <c r="D402" s="1" t="s">
        <v>139</v>
      </c>
      <c r="E402" s="1">
        <v>2</v>
      </c>
      <c r="F402" s="1" t="s">
        <v>132</v>
      </c>
      <c r="G402" s="1" t="s">
        <v>133</v>
      </c>
    </row>
    <row r="403" spans="1:7" x14ac:dyDescent="0.3">
      <c r="A403" s="48">
        <v>45753</v>
      </c>
      <c r="B403" s="1">
        <v>2025</v>
      </c>
      <c r="C403" s="1">
        <v>4</v>
      </c>
      <c r="D403" s="1" t="s">
        <v>139</v>
      </c>
      <c r="E403" s="1">
        <v>2</v>
      </c>
      <c r="F403" s="1" t="s">
        <v>134</v>
      </c>
      <c r="G403" s="1" t="s">
        <v>133</v>
      </c>
    </row>
    <row r="404" spans="1:7" x14ac:dyDescent="0.3">
      <c r="A404" s="48">
        <v>45754</v>
      </c>
      <c r="B404" s="1">
        <v>2025</v>
      </c>
      <c r="C404" s="1">
        <v>4</v>
      </c>
      <c r="D404" s="1" t="s">
        <v>139</v>
      </c>
      <c r="E404" s="1">
        <v>2</v>
      </c>
      <c r="F404" s="1" t="s">
        <v>135</v>
      </c>
      <c r="G404" s="1" t="s">
        <v>83</v>
      </c>
    </row>
    <row r="405" spans="1:7" x14ac:dyDescent="0.3">
      <c r="A405" s="48">
        <v>45755</v>
      </c>
      <c r="B405" s="1">
        <v>2025</v>
      </c>
      <c r="C405" s="1">
        <v>4</v>
      </c>
      <c r="D405" s="1" t="s">
        <v>139</v>
      </c>
      <c r="E405" s="1">
        <v>2</v>
      </c>
      <c r="F405" s="1" t="s">
        <v>136</v>
      </c>
      <c r="G405" s="1" t="s">
        <v>83</v>
      </c>
    </row>
    <row r="406" spans="1:7" x14ac:dyDescent="0.3">
      <c r="A406" s="48">
        <v>45756</v>
      </c>
      <c r="B406" s="1">
        <v>2025</v>
      </c>
      <c r="C406" s="1">
        <v>4</v>
      </c>
      <c r="D406" s="1" t="s">
        <v>139</v>
      </c>
      <c r="E406" s="1">
        <v>2</v>
      </c>
      <c r="F406" s="1" t="s">
        <v>137</v>
      </c>
      <c r="G406" s="1" t="s">
        <v>83</v>
      </c>
    </row>
    <row r="407" spans="1:7" x14ac:dyDescent="0.3">
      <c r="A407" s="48">
        <v>45757</v>
      </c>
      <c r="B407" s="1">
        <v>2025</v>
      </c>
      <c r="C407" s="1">
        <v>4</v>
      </c>
      <c r="D407" s="1" t="s">
        <v>139</v>
      </c>
      <c r="E407" s="1">
        <v>2</v>
      </c>
      <c r="F407" s="1" t="s">
        <v>138</v>
      </c>
      <c r="G407" s="1" t="s">
        <v>83</v>
      </c>
    </row>
    <row r="408" spans="1:7" x14ac:dyDescent="0.3">
      <c r="A408" s="48">
        <v>45758</v>
      </c>
      <c r="B408" s="1">
        <v>2025</v>
      </c>
      <c r="C408" s="1">
        <v>4</v>
      </c>
      <c r="D408" s="1" t="s">
        <v>139</v>
      </c>
      <c r="E408" s="1">
        <v>2</v>
      </c>
      <c r="F408" s="1" t="s">
        <v>131</v>
      </c>
      <c r="G408" s="1" t="s">
        <v>83</v>
      </c>
    </row>
    <row r="409" spans="1:7" x14ac:dyDescent="0.3">
      <c r="A409" s="48">
        <v>45759</v>
      </c>
      <c r="B409" s="1">
        <v>2025</v>
      </c>
      <c r="C409" s="1">
        <v>4</v>
      </c>
      <c r="D409" s="1" t="s">
        <v>139</v>
      </c>
      <c r="E409" s="1">
        <v>2</v>
      </c>
      <c r="F409" s="1" t="s">
        <v>132</v>
      </c>
      <c r="G409" s="1" t="s">
        <v>133</v>
      </c>
    </row>
    <row r="410" spans="1:7" x14ac:dyDescent="0.3">
      <c r="A410" s="48">
        <v>45760</v>
      </c>
      <c r="B410" s="1">
        <v>2025</v>
      </c>
      <c r="C410" s="1">
        <v>4</v>
      </c>
      <c r="D410" s="1" t="s">
        <v>139</v>
      </c>
      <c r="E410" s="1">
        <v>2</v>
      </c>
      <c r="F410" s="1" t="s">
        <v>134</v>
      </c>
      <c r="G410" s="1" t="s">
        <v>133</v>
      </c>
    </row>
    <row r="411" spans="1:7" x14ac:dyDescent="0.3">
      <c r="A411" s="48">
        <v>45761</v>
      </c>
      <c r="B411" s="1">
        <v>2025</v>
      </c>
      <c r="C411" s="1">
        <v>4</v>
      </c>
      <c r="D411" s="1" t="s">
        <v>139</v>
      </c>
      <c r="E411" s="1">
        <v>2</v>
      </c>
      <c r="F411" s="1" t="s">
        <v>135</v>
      </c>
      <c r="G411" s="1" t="s">
        <v>83</v>
      </c>
    </row>
    <row r="412" spans="1:7" x14ac:dyDescent="0.3">
      <c r="A412" s="48">
        <v>45762</v>
      </c>
      <c r="B412" s="1">
        <v>2025</v>
      </c>
      <c r="C412" s="1">
        <v>4</v>
      </c>
      <c r="D412" s="1" t="s">
        <v>139</v>
      </c>
      <c r="E412" s="1">
        <v>2</v>
      </c>
      <c r="F412" s="1" t="s">
        <v>136</v>
      </c>
      <c r="G412" s="1" t="s">
        <v>83</v>
      </c>
    </row>
    <row r="413" spans="1:7" x14ac:dyDescent="0.3">
      <c r="A413" s="48">
        <v>45763</v>
      </c>
      <c r="B413" s="1">
        <v>2025</v>
      </c>
      <c r="C413" s="1">
        <v>4</v>
      </c>
      <c r="D413" s="1" t="s">
        <v>139</v>
      </c>
      <c r="E413" s="1">
        <v>2</v>
      </c>
      <c r="F413" s="1" t="s">
        <v>137</v>
      </c>
      <c r="G413" s="1" t="s">
        <v>83</v>
      </c>
    </row>
    <row r="414" spans="1:7" x14ac:dyDescent="0.3">
      <c r="A414" s="48">
        <v>45764</v>
      </c>
      <c r="B414" s="1">
        <v>2025</v>
      </c>
      <c r="C414" s="1">
        <v>4</v>
      </c>
      <c r="D414" s="1" t="s">
        <v>139</v>
      </c>
      <c r="E414" s="1">
        <v>2</v>
      </c>
      <c r="F414" s="1" t="s">
        <v>138</v>
      </c>
      <c r="G414" s="1" t="s">
        <v>83</v>
      </c>
    </row>
    <row r="415" spans="1:7" x14ac:dyDescent="0.3">
      <c r="A415" s="48">
        <v>45765</v>
      </c>
      <c r="B415" s="1">
        <v>2025</v>
      </c>
      <c r="C415" s="1">
        <v>4</v>
      </c>
      <c r="D415" s="1" t="s">
        <v>139</v>
      </c>
      <c r="E415" s="1">
        <v>2</v>
      </c>
      <c r="F415" s="1" t="s">
        <v>131</v>
      </c>
      <c r="G415" s="1" t="s">
        <v>83</v>
      </c>
    </row>
    <row r="416" spans="1:7" x14ac:dyDescent="0.3">
      <c r="A416" s="48">
        <v>45766</v>
      </c>
      <c r="B416" s="1">
        <v>2025</v>
      </c>
      <c r="C416" s="1">
        <v>4</v>
      </c>
      <c r="D416" s="1" t="s">
        <v>139</v>
      </c>
      <c r="E416" s="1">
        <v>2</v>
      </c>
      <c r="F416" s="1" t="s">
        <v>132</v>
      </c>
      <c r="G416" s="1" t="s">
        <v>133</v>
      </c>
    </row>
    <row r="417" spans="1:7" x14ac:dyDescent="0.3">
      <c r="A417" s="48">
        <v>45767</v>
      </c>
      <c r="B417" s="1">
        <v>2025</v>
      </c>
      <c r="C417" s="1">
        <v>4</v>
      </c>
      <c r="D417" s="1" t="s">
        <v>139</v>
      </c>
      <c r="E417" s="1">
        <v>2</v>
      </c>
      <c r="F417" s="1" t="s">
        <v>134</v>
      </c>
      <c r="G417" s="1" t="s">
        <v>133</v>
      </c>
    </row>
    <row r="418" spans="1:7" x14ac:dyDescent="0.3">
      <c r="A418" s="48">
        <v>45768</v>
      </c>
      <c r="B418" s="1">
        <v>2025</v>
      </c>
      <c r="C418" s="1">
        <v>4</v>
      </c>
      <c r="D418" s="1" t="s">
        <v>139</v>
      </c>
      <c r="E418" s="1">
        <v>2</v>
      </c>
      <c r="F418" s="1" t="s">
        <v>135</v>
      </c>
      <c r="G418" s="1" t="s">
        <v>83</v>
      </c>
    </row>
    <row r="419" spans="1:7" x14ac:dyDescent="0.3">
      <c r="A419" s="48">
        <v>45769</v>
      </c>
      <c r="B419" s="1">
        <v>2025</v>
      </c>
      <c r="C419" s="1">
        <v>4</v>
      </c>
      <c r="D419" s="1" t="s">
        <v>139</v>
      </c>
      <c r="E419" s="1">
        <v>2</v>
      </c>
      <c r="F419" s="1" t="s">
        <v>136</v>
      </c>
      <c r="G419" s="1" t="s">
        <v>83</v>
      </c>
    </row>
    <row r="420" spans="1:7" x14ac:dyDescent="0.3">
      <c r="A420" s="48">
        <v>45770</v>
      </c>
      <c r="B420" s="1">
        <v>2025</v>
      </c>
      <c r="C420" s="1">
        <v>4</v>
      </c>
      <c r="D420" s="1" t="s">
        <v>139</v>
      </c>
      <c r="E420" s="1">
        <v>2</v>
      </c>
      <c r="F420" s="1" t="s">
        <v>137</v>
      </c>
      <c r="G420" s="1" t="s">
        <v>83</v>
      </c>
    </row>
    <row r="421" spans="1:7" x14ac:dyDescent="0.3">
      <c r="A421" s="48">
        <v>45771</v>
      </c>
      <c r="B421" s="1">
        <v>2025</v>
      </c>
      <c r="C421" s="1">
        <v>4</v>
      </c>
      <c r="D421" s="1" t="s">
        <v>139</v>
      </c>
      <c r="E421" s="1">
        <v>2</v>
      </c>
      <c r="F421" s="1" t="s">
        <v>138</v>
      </c>
      <c r="G421" s="1" t="s">
        <v>83</v>
      </c>
    </row>
    <row r="422" spans="1:7" x14ac:dyDescent="0.3">
      <c r="A422" s="48">
        <v>45772</v>
      </c>
      <c r="B422" s="1">
        <v>2025</v>
      </c>
      <c r="C422" s="1">
        <v>4</v>
      </c>
      <c r="D422" s="1" t="s">
        <v>139</v>
      </c>
      <c r="E422" s="1">
        <v>2</v>
      </c>
      <c r="F422" s="1" t="s">
        <v>131</v>
      </c>
      <c r="G422" s="1" t="s">
        <v>83</v>
      </c>
    </row>
    <row r="423" spans="1:7" x14ac:dyDescent="0.3">
      <c r="A423" s="48">
        <v>45773</v>
      </c>
      <c r="B423" s="1">
        <v>2025</v>
      </c>
      <c r="C423" s="1">
        <v>4</v>
      </c>
      <c r="D423" s="1" t="s">
        <v>139</v>
      </c>
      <c r="E423" s="1">
        <v>2</v>
      </c>
      <c r="F423" s="1" t="s">
        <v>132</v>
      </c>
      <c r="G423" s="1" t="s">
        <v>133</v>
      </c>
    </row>
    <row r="424" spans="1:7" x14ac:dyDescent="0.3">
      <c r="A424" s="48">
        <v>45774</v>
      </c>
      <c r="B424" s="1">
        <v>2025</v>
      </c>
      <c r="C424" s="1">
        <v>4</v>
      </c>
      <c r="D424" s="1" t="s">
        <v>139</v>
      </c>
      <c r="E424" s="1">
        <v>2</v>
      </c>
      <c r="F424" s="1" t="s">
        <v>134</v>
      </c>
      <c r="G424" s="1" t="s">
        <v>133</v>
      </c>
    </row>
    <row r="425" spans="1:7" x14ac:dyDescent="0.3">
      <c r="A425" s="48">
        <v>45775</v>
      </c>
      <c r="B425" s="1">
        <v>2025</v>
      </c>
      <c r="C425" s="1">
        <v>4</v>
      </c>
      <c r="D425" s="1" t="s">
        <v>139</v>
      </c>
      <c r="E425" s="1">
        <v>2</v>
      </c>
      <c r="F425" s="1" t="s">
        <v>135</v>
      </c>
      <c r="G425" s="1" t="s">
        <v>83</v>
      </c>
    </row>
    <row r="426" spans="1:7" x14ac:dyDescent="0.3">
      <c r="A426" s="48">
        <v>45776</v>
      </c>
      <c r="B426" s="1">
        <v>2025</v>
      </c>
      <c r="C426" s="1">
        <v>4</v>
      </c>
      <c r="D426" s="1" t="s">
        <v>139</v>
      </c>
      <c r="E426" s="1">
        <v>2</v>
      </c>
      <c r="F426" s="1" t="s">
        <v>136</v>
      </c>
      <c r="G426" s="1" t="s">
        <v>83</v>
      </c>
    </row>
    <row r="427" spans="1:7" x14ac:dyDescent="0.3">
      <c r="A427" s="48">
        <v>45777</v>
      </c>
      <c r="B427" s="1">
        <v>2025</v>
      </c>
      <c r="C427" s="1">
        <v>4</v>
      </c>
      <c r="D427" s="1" t="s">
        <v>139</v>
      </c>
      <c r="E427" s="1">
        <v>2</v>
      </c>
      <c r="F427" s="1" t="s">
        <v>137</v>
      </c>
      <c r="G427" s="1" t="s">
        <v>83</v>
      </c>
    </row>
    <row r="428" spans="1:7" x14ac:dyDescent="0.3">
      <c r="A428" s="48">
        <v>45778</v>
      </c>
      <c r="B428" s="1">
        <v>2025</v>
      </c>
      <c r="C428" s="1">
        <v>5</v>
      </c>
      <c r="D428" s="1" t="s">
        <v>140</v>
      </c>
      <c r="E428" s="1">
        <v>2</v>
      </c>
      <c r="F428" s="1" t="s">
        <v>138</v>
      </c>
      <c r="G428" s="1" t="s">
        <v>83</v>
      </c>
    </row>
    <row r="429" spans="1:7" x14ac:dyDescent="0.3">
      <c r="A429" s="48">
        <v>45779</v>
      </c>
      <c r="B429" s="1">
        <v>2025</v>
      </c>
      <c r="C429" s="1">
        <v>5</v>
      </c>
      <c r="D429" s="1" t="s">
        <v>140</v>
      </c>
      <c r="E429" s="1">
        <v>2</v>
      </c>
      <c r="F429" s="1" t="s">
        <v>131</v>
      </c>
      <c r="G429" s="1" t="s">
        <v>83</v>
      </c>
    </row>
    <row r="430" spans="1:7" x14ac:dyDescent="0.3">
      <c r="A430" s="48">
        <v>45780</v>
      </c>
      <c r="B430" s="1">
        <v>2025</v>
      </c>
      <c r="C430" s="1">
        <v>5</v>
      </c>
      <c r="D430" s="1" t="s">
        <v>140</v>
      </c>
      <c r="E430" s="1">
        <v>2</v>
      </c>
      <c r="F430" s="1" t="s">
        <v>132</v>
      </c>
      <c r="G430" s="1" t="s">
        <v>133</v>
      </c>
    </row>
    <row r="431" spans="1:7" x14ac:dyDescent="0.3">
      <c r="A431" s="48">
        <v>45781</v>
      </c>
      <c r="B431" s="1">
        <v>2025</v>
      </c>
      <c r="C431" s="1">
        <v>5</v>
      </c>
      <c r="D431" s="1" t="s">
        <v>140</v>
      </c>
      <c r="E431" s="1">
        <v>2</v>
      </c>
      <c r="F431" s="1" t="s">
        <v>134</v>
      </c>
      <c r="G431" s="1" t="s">
        <v>133</v>
      </c>
    </row>
    <row r="432" spans="1:7" x14ac:dyDescent="0.3">
      <c r="A432" s="48">
        <v>45782</v>
      </c>
      <c r="B432" s="1">
        <v>2025</v>
      </c>
      <c r="C432" s="1">
        <v>5</v>
      </c>
      <c r="D432" s="1" t="s">
        <v>140</v>
      </c>
      <c r="E432" s="1">
        <v>2</v>
      </c>
      <c r="F432" s="1" t="s">
        <v>135</v>
      </c>
      <c r="G432" s="1" t="s">
        <v>83</v>
      </c>
    </row>
    <row r="433" spans="1:7" x14ac:dyDescent="0.3">
      <c r="A433" s="48">
        <v>45783</v>
      </c>
      <c r="B433" s="1">
        <v>2025</v>
      </c>
      <c r="C433" s="1">
        <v>5</v>
      </c>
      <c r="D433" s="1" t="s">
        <v>140</v>
      </c>
      <c r="E433" s="1">
        <v>2</v>
      </c>
      <c r="F433" s="1" t="s">
        <v>136</v>
      </c>
      <c r="G433" s="1" t="s">
        <v>83</v>
      </c>
    </row>
    <row r="434" spans="1:7" x14ac:dyDescent="0.3">
      <c r="A434" s="48">
        <v>45784</v>
      </c>
      <c r="B434" s="1">
        <v>2025</v>
      </c>
      <c r="C434" s="1">
        <v>5</v>
      </c>
      <c r="D434" s="1" t="s">
        <v>140</v>
      </c>
      <c r="E434" s="1">
        <v>2</v>
      </c>
      <c r="F434" s="1" t="s">
        <v>137</v>
      </c>
      <c r="G434" s="1" t="s">
        <v>83</v>
      </c>
    </row>
    <row r="435" spans="1:7" x14ac:dyDescent="0.3">
      <c r="A435" s="48">
        <v>45785</v>
      </c>
      <c r="B435" s="1">
        <v>2025</v>
      </c>
      <c r="C435" s="1">
        <v>5</v>
      </c>
      <c r="D435" s="1" t="s">
        <v>140</v>
      </c>
      <c r="E435" s="1">
        <v>2</v>
      </c>
      <c r="F435" s="1" t="s">
        <v>138</v>
      </c>
      <c r="G435" s="1" t="s">
        <v>83</v>
      </c>
    </row>
    <row r="436" spans="1:7" x14ac:dyDescent="0.3">
      <c r="A436" s="48">
        <v>45786</v>
      </c>
      <c r="B436" s="1">
        <v>2025</v>
      </c>
      <c r="C436" s="1">
        <v>5</v>
      </c>
      <c r="D436" s="1" t="s">
        <v>140</v>
      </c>
      <c r="E436" s="1">
        <v>2</v>
      </c>
      <c r="F436" s="1" t="s">
        <v>131</v>
      </c>
      <c r="G436" s="1" t="s">
        <v>83</v>
      </c>
    </row>
    <row r="437" spans="1:7" x14ac:dyDescent="0.3">
      <c r="A437" s="48">
        <v>45787</v>
      </c>
      <c r="B437" s="1">
        <v>2025</v>
      </c>
      <c r="C437" s="1">
        <v>5</v>
      </c>
      <c r="D437" s="1" t="s">
        <v>140</v>
      </c>
      <c r="E437" s="1">
        <v>2</v>
      </c>
      <c r="F437" s="1" t="s">
        <v>132</v>
      </c>
      <c r="G437" s="1" t="s">
        <v>133</v>
      </c>
    </row>
    <row r="438" spans="1:7" x14ac:dyDescent="0.3">
      <c r="A438" s="48">
        <v>45788</v>
      </c>
      <c r="B438" s="1">
        <v>2025</v>
      </c>
      <c r="C438" s="1">
        <v>5</v>
      </c>
      <c r="D438" s="1" t="s">
        <v>140</v>
      </c>
      <c r="E438" s="1">
        <v>2</v>
      </c>
      <c r="F438" s="1" t="s">
        <v>134</v>
      </c>
      <c r="G438" s="1" t="s">
        <v>133</v>
      </c>
    </row>
    <row r="439" spans="1:7" x14ac:dyDescent="0.3">
      <c r="A439" s="48">
        <v>45789</v>
      </c>
      <c r="B439" s="1">
        <v>2025</v>
      </c>
      <c r="C439" s="1">
        <v>5</v>
      </c>
      <c r="D439" s="1" t="s">
        <v>140</v>
      </c>
      <c r="E439" s="1">
        <v>2</v>
      </c>
      <c r="F439" s="1" t="s">
        <v>135</v>
      </c>
      <c r="G439" s="1" t="s">
        <v>83</v>
      </c>
    </row>
    <row r="440" spans="1:7" x14ac:dyDescent="0.3">
      <c r="A440" s="48">
        <v>45790</v>
      </c>
      <c r="B440" s="1">
        <v>2025</v>
      </c>
      <c r="C440" s="1">
        <v>5</v>
      </c>
      <c r="D440" s="1" t="s">
        <v>140</v>
      </c>
      <c r="E440" s="1">
        <v>2</v>
      </c>
      <c r="F440" s="1" t="s">
        <v>136</v>
      </c>
      <c r="G440" s="1" t="s">
        <v>83</v>
      </c>
    </row>
    <row r="441" spans="1:7" x14ac:dyDescent="0.3">
      <c r="A441" s="48">
        <v>45791</v>
      </c>
      <c r="B441" s="1">
        <v>2025</v>
      </c>
      <c r="C441" s="1">
        <v>5</v>
      </c>
      <c r="D441" s="1" t="s">
        <v>140</v>
      </c>
      <c r="E441" s="1">
        <v>2</v>
      </c>
      <c r="F441" s="1" t="s">
        <v>137</v>
      </c>
      <c r="G441" s="1" t="s">
        <v>83</v>
      </c>
    </row>
    <row r="442" spans="1:7" x14ac:dyDescent="0.3">
      <c r="A442" s="48">
        <v>45792</v>
      </c>
      <c r="B442" s="1">
        <v>2025</v>
      </c>
      <c r="C442" s="1">
        <v>5</v>
      </c>
      <c r="D442" s="1" t="s">
        <v>140</v>
      </c>
      <c r="E442" s="1">
        <v>2</v>
      </c>
      <c r="F442" s="1" t="s">
        <v>138</v>
      </c>
      <c r="G442" s="1" t="s">
        <v>83</v>
      </c>
    </row>
    <row r="443" spans="1:7" x14ac:dyDescent="0.3">
      <c r="A443" s="48">
        <v>45793</v>
      </c>
      <c r="B443" s="1">
        <v>2025</v>
      </c>
      <c r="C443" s="1">
        <v>5</v>
      </c>
      <c r="D443" s="1" t="s">
        <v>140</v>
      </c>
      <c r="E443" s="1">
        <v>2</v>
      </c>
      <c r="F443" s="1" t="s">
        <v>131</v>
      </c>
      <c r="G443" s="1" t="s">
        <v>83</v>
      </c>
    </row>
    <row r="444" spans="1:7" x14ac:dyDescent="0.3">
      <c r="A444" s="48">
        <v>45794</v>
      </c>
      <c r="B444" s="1">
        <v>2025</v>
      </c>
      <c r="C444" s="1">
        <v>5</v>
      </c>
      <c r="D444" s="1" t="s">
        <v>140</v>
      </c>
      <c r="E444" s="1">
        <v>2</v>
      </c>
      <c r="F444" s="1" t="s">
        <v>132</v>
      </c>
      <c r="G444" s="1" t="s">
        <v>133</v>
      </c>
    </row>
    <row r="445" spans="1:7" x14ac:dyDescent="0.3">
      <c r="A445" s="48">
        <v>45795</v>
      </c>
      <c r="B445" s="1">
        <v>2025</v>
      </c>
      <c r="C445" s="1">
        <v>5</v>
      </c>
      <c r="D445" s="1" t="s">
        <v>140</v>
      </c>
      <c r="E445" s="1">
        <v>2</v>
      </c>
      <c r="F445" s="1" t="s">
        <v>134</v>
      </c>
      <c r="G445" s="1" t="s">
        <v>133</v>
      </c>
    </row>
    <row r="446" spans="1:7" x14ac:dyDescent="0.3">
      <c r="A446" s="48">
        <v>45796</v>
      </c>
      <c r="B446" s="1">
        <v>2025</v>
      </c>
      <c r="C446" s="1">
        <v>5</v>
      </c>
      <c r="D446" s="1" t="s">
        <v>140</v>
      </c>
      <c r="E446" s="1">
        <v>2</v>
      </c>
      <c r="F446" s="1" t="s">
        <v>135</v>
      </c>
      <c r="G446" s="1" t="s">
        <v>83</v>
      </c>
    </row>
    <row r="447" spans="1:7" x14ac:dyDescent="0.3">
      <c r="A447" s="48">
        <v>45797</v>
      </c>
      <c r="B447" s="1">
        <v>2025</v>
      </c>
      <c r="C447" s="1">
        <v>5</v>
      </c>
      <c r="D447" s="1" t="s">
        <v>140</v>
      </c>
      <c r="E447" s="1">
        <v>2</v>
      </c>
      <c r="F447" s="1" t="s">
        <v>136</v>
      </c>
      <c r="G447" s="1" t="s">
        <v>83</v>
      </c>
    </row>
    <row r="448" spans="1:7" x14ac:dyDescent="0.3">
      <c r="A448" s="48">
        <v>45798</v>
      </c>
      <c r="B448" s="1">
        <v>2025</v>
      </c>
      <c r="C448" s="1">
        <v>5</v>
      </c>
      <c r="D448" s="1" t="s">
        <v>140</v>
      </c>
      <c r="E448" s="1">
        <v>2</v>
      </c>
      <c r="F448" s="1" t="s">
        <v>137</v>
      </c>
      <c r="G448" s="1" t="s">
        <v>83</v>
      </c>
    </row>
    <row r="449" spans="1:7" x14ac:dyDescent="0.3">
      <c r="A449" s="48">
        <v>45799</v>
      </c>
      <c r="B449" s="1">
        <v>2025</v>
      </c>
      <c r="C449" s="1">
        <v>5</v>
      </c>
      <c r="D449" s="1" t="s">
        <v>140</v>
      </c>
      <c r="E449" s="1">
        <v>2</v>
      </c>
      <c r="F449" s="1" t="s">
        <v>138</v>
      </c>
      <c r="G449" s="1" t="s">
        <v>83</v>
      </c>
    </row>
    <row r="450" spans="1:7" x14ac:dyDescent="0.3">
      <c r="A450" s="48">
        <v>45800</v>
      </c>
      <c r="B450" s="1">
        <v>2025</v>
      </c>
      <c r="C450" s="1">
        <v>5</v>
      </c>
      <c r="D450" s="1" t="s">
        <v>140</v>
      </c>
      <c r="E450" s="1">
        <v>2</v>
      </c>
      <c r="F450" s="1" t="s">
        <v>131</v>
      </c>
      <c r="G450" s="1" t="s">
        <v>83</v>
      </c>
    </row>
    <row r="451" spans="1:7" x14ac:dyDescent="0.3">
      <c r="A451" s="48">
        <v>45801</v>
      </c>
      <c r="B451" s="1">
        <v>2025</v>
      </c>
      <c r="C451" s="1">
        <v>5</v>
      </c>
      <c r="D451" s="1" t="s">
        <v>140</v>
      </c>
      <c r="E451" s="1">
        <v>2</v>
      </c>
      <c r="F451" s="1" t="s">
        <v>132</v>
      </c>
      <c r="G451" s="1" t="s">
        <v>133</v>
      </c>
    </row>
    <row r="452" spans="1:7" x14ac:dyDescent="0.3">
      <c r="A452" s="48">
        <v>45802</v>
      </c>
      <c r="B452" s="1">
        <v>2025</v>
      </c>
      <c r="C452" s="1">
        <v>5</v>
      </c>
      <c r="D452" s="1" t="s">
        <v>140</v>
      </c>
      <c r="E452" s="1">
        <v>2</v>
      </c>
      <c r="F452" s="1" t="s">
        <v>134</v>
      </c>
      <c r="G452" s="1" t="s">
        <v>133</v>
      </c>
    </row>
    <row r="453" spans="1:7" x14ac:dyDescent="0.3">
      <c r="A453" s="48">
        <v>45803</v>
      </c>
      <c r="B453" s="1">
        <v>2025</v>
      </c>
      <c r="C453" s="1">
        <v>5</v>
      </c>
      <c r="D453" s="1" t="s">
        <v>140</v>
      </c>
      <c r="E453" s="1">
        <v>2</v>
      </c>
      <c r="F453" s="1" t="s">
        <v>135</v>
      </c>
      <c r="G453" s="1" t="s">
        <v>83</v>
      </c>
    </row>
    <row r="454" spans="1:7" x14ac:dyDescent="0.3">
      <c r="A454" s="48">
        <v>45804</v>
      </c>
      <c r="B454" s="1">
        <v>2025</v>
      </c>
      <c r="C454" s="1">
        <v>5</v>
      </c>
      <c r="D454" s="1" t="s">
        <v>140</v>
      </c>
      <c r="E454" s="1">
        <v>2</v>
      </c>
      <c r="F454" s="1" t="s">
        <v>136</v>
      </c>
      <c r="G454" s="1" t="s">
        <v>83</v>
      </c>
    </row>
    <row r="455" spans="1:7" x14ac:dyDescent="0.3">
      <c r="A455" s="48">
        <v>45805</v>
      </c>
      <c r="B455" s="1">
        <v>2025</v>
      </c>
      <c r="C455" s="1">
        <v>5</v>
      </c>
      <c r="D455" s="1" t="s">
        <v>140</v>
      </c>
      <c r="E455" s="1">
        <v>2</v>
      </c>
      <c r="F455" s="1" t="s">
        <v>137</v>
      </c>
      <c r="G455" s="1" t="s">
        <v>83</v>
      </c>
    </row>
    <row r="456" spans="1:7" x14ac:dyDescent="0.3">
      <c r="A456" s="48">
        <v>45806</v>
      </c>
      <c r="B456" s="1">
        <v>2025</v>
      </c>
      <c r="C456" s="1">
        <v>5</v>
      </c>
      <c r="D456" s="1" t="s">
        <v>140</v>
      </c>
      <c r="E456" s="1">
        <v>2</v>
      </c>
      <c r="F456" s="1" t="s">
        <v>138</v>
      </c>
      <c r="G456" s="1" t="s">
        <v>83</v>
      </c>
    </row>
    <row r="457" spans="1:7" x14ac:dyDescent="0.3">
      <c r="A457" s="48">
        <v>45807</v>
      </c>
      <c r="B457" s="1">
        <v>2025</v>
      </c>
      <c r="C457" s="1">
        <v>5</v>
      </c>
      <c r="D457" s="1" t="s">
        <v>140</v>
      </c>
      <c r="E457" s="1">
        <v>2</v>
      </c>
      <c r="F457" s="1" t="s">
        <v>131</v>
      </c>
      <c r="G457" s="1" t="s">
        <v>83</v>
      </c>
    </row>
    <row r="458" spans="1:7" x14ac:dyDescent="0.3">
      <c r="A458" s="48">
        <v>45808</v>
      </c>
      <c r="B458" s="1">
        <v>2025</v>
      </c>
      <c r="C458" s="1">
        <v>5</v>
      </c>
      <c r="D458" s="1" t="s">
        <v>140</v>
      </c>
      <c r="E458" s="1">
        <v>2</v>
      </c>
      <c r="F458" s="1" t="s">
        <v>132</v>
      </c>
      <c r="G458" s="1" t="s">
        <v>133</v>
      </c>
    </row>
    <row r="459" spans="1:7" x14ac:dyDescent="0.3">
      <c r="A459" s="48">
        <v>45809</v>
      </c>
      <c r="B459" s="1">
        <v>2025</v>
      </c>
      <c r="C459" s="1">
        <v>6</v>
      </c>
      <c r="D459" s="1" t="s">
        <v>141</v>
      </c>
      <c r="E459" s="1">
        <v>2</v>
      </c>
      <c r="F459" s="1" t="s">
        <v>134</v>
      </c>
      <c r="G459" s="1" t="s">
        <v>133</v>
      </c>
    </row>
    <row r="460" spans="1:7" x14ac:dyDescent="0.3">
      <c r="A460" s="48">
        <v>45810</v>
      </c>
      <c r="B460" s="1">
        <v>2025</v>
      </c>
      <c r="C460" s="1">
        <v>6</v>
      </c>
      <c r="D460" s="1" t="s">
        <v>141</v>
      </c>
      <c r="E460" s="1">
        <v>2</v>
      </c>
      <c r="F460" s="1" t="s">
        <v>135</v>
      </c>
      <c r="G460" s="1" t="s">
        <v>83</v>
      </c>
    </row>
    <row r="461" spans="1:7" x14ac:dyDescent="0.3">
      <c r="A461" s="48">
        <v>45811</v>
      </c>
      <c r="B461" s="1">
        <v>2025</v>
      </c>
      <c r="C461" s="1">
        <v>6</v>
      </c>
      <c r="D461" s="1" t="s">
        <v>141</v>
      </c>
      <c r="E461" s="1">
        <v>2</v>
      </c>
      <c r="F461" s="1" t="s">
        <v>136</v>
      </c>
      <c r="G461" s="1" t="s">
        <v>83</v>
      </c>
    </row>
    <row r="462" spans="1:7" x14ac:dyDescent="0.3">
      <c r="A462" s="48">
        <v>45812</v>
      </c>
      <c r="B462" s="1">
        <v>2025</v>
      </c>
      <c r="C462" s="1">
        <v>6</v>
      </c>
      <c r="D462" s="1" t="s">
        <v>141</v>
      </c>
      <c r="E462" s="1">
        <v>2</v>
      </c>
      <c r="F462" s="1" t="s">
        <v>137</v>
      </c>
      <c r="G462" s="1" t="s">
        <v>83</v>
      </c>
    </row>
    <row r="463" spans="1:7" x14ac:dyDescent="0.3">
      <c r="A463" s="48">
        <v>45813</v>
      </c>
      <c r="B463" s="1">
        <v>2025</v>
      </c>
      <c r="C463" s="1">
        <v>6</v>
      </c>
      <c r="D463" s="1" t="s">
        <v>141</v>
      </c>
      <c r="E463" s="1">
        <v>2</v>
      </c>
      <c r="F463" s="1" t="s">
        <v>138</v>
      </c>
      <c r="G463" s="1" t="s">
        <v>83</v>
      </c>
    </row>
    <row r="464" spans="1:7" x14ac:dyDescent="0.3">
      <c r="A464" s="48">
        <v>45814</v>
      </c>
      <c r="B464" s="1">
        <v>2025</v>
      </c>
      <c r="C464" s="1">
        <v>6</v>
      </c>
      <c r="D464" s="1" t="s">
        <v>141</v>
      </c>
      <c r="E464" s="1">
        <v>2</v>
      </c>
      <c r="F464" s="1" t="s">
        <v>131</v>
      </c>
      <c r="G464" s="1" t="s">
        <v>83</v>
      </c>
    </row>
    <row r="465" spans="1:7" x14ac:dyDescent="0.3">
      <c r="A465" s="48">
        <v>45815</v>
      </c>
      <c r="B465" s="1">
        <v>2025</v>
      </c>
      <c r="C465" s="1">
        <v>6</v>
      </c>
      <c r="D465" s="1" t="s">
        <v>141</v>
      </c>
      <c r="E465" s="1">
        <v>2</v>
      </c>
      <c r="F465" s="1" t="s">
        <v>132</v>
      </c>
      <c r="G465" s="1" t="s">
        <v>133</v>
      </c>
    </row>
    <row r="466" spans="1:7" x14ac:dyDescent="0.3">
      <c r="A466" s="48">
        <v>45816</v>
      </c>
      <c r="B466" s="1">
        <v>2025</v>
      </c>
      <c r="C466" s="1">
        <v>6</v>
      </c>
      <c r="D466" s="1" t="s">
        <v>141</v>
      </c>
      <c r="E466" s="1">
        <v>2</v>
      </c>
      <c r="F466" s="1" t="s">
        <v>134</v>
      </c>
      <c r="G466" s="1" t="s">
        <v>133</v>
      </c>
    </row>
    <row r="467" spans="1:7" x14ac:dyDescent="0.3">
      <c r="A467" s="48">
        <v>45817</v>
      </c>
      <c r="B467" s="1">
        <v>2025</v>
      </c>
      <c r="C467" s="1">
        <v>6</v>
      </c>
      <c r="D467" s="1" t="s">
        <v>141</v>
      </c>
      <c r="E467" s="1">
        <v>2</v>
      </c>
      <c r="F467" s="1" t="s">
        <v>135</v>
      </c>
      <c r="G467" s="1" t="s">
        <v>83</v>
      </c>
    </row>
    <row r="468" spans="1:7" x14ac:dyDescent="0.3">
      <c r="A468" s="48">
        <v>45818</v>
      </c>
      <c r="B468" s="1">
        <v>2025</v>
      </c>
      <c r="C468" s="1">
        <v>6</v>
      </c>
      <c r="D468" s="1" t="s">
        <v>141</v>
      </c>
      <c r="E468" s="1">
        <v>2</v>
      </c>
      <c r="F468" s="1" t="s">
        <v>136</v>
      </c>
      <c r="G468" s="1" t="s">
        <v>83</v>
      </c>
    </row>
    <row r="469" spans="1:7" x14ac:dyDescent="0.3">
      <c r="A469" s="48">
        <v>45819</v>
      </c>
      <c r="B469" s="1">
        <v>2025</v>
      </c>
      <c r="C469" s="1">
        <v>6</v>
      </c>
      <c r="D469" s="1" t="s">
        <v>141</v>
      </c>
      <c r="E469" s="1">
        <v>2</v>
      </c>
      <c r="F469" s="1" t="s">
        <v>137</v>
      </c>
      <c r="G469" s="1" t="s">
        <v>83</v>
      </c>
    </row>
    <row r="470" spans="1:7" x14ac:dyDescent="0.3">
      <c r="A470" s="48">
        <v>45820</v>
      </c>
      <c r="B470" s="1">
        <v>2025</v>
      </c>
      <c r="C470" s="1">
        <v>6</v>
      </c>
      <c r="D470" s="1" t="s">
        <v>141</v>
      </c>
      <c r="E470" s="1">
        <v>2</v>
      </c>
      <c r="F470" s="1" t="s">
        <v>138</v>
      </c>
      <c r="G470" s="1" t="s">
        <v>83</v>
      </c>
    </row>
    <row r="471" spans="1:7" x14ac:dyDescent="0.3">
      <c r="A471" s="48">
        <v>45821</v>
      </c>
      <c r="B471" s="1">
        <v>2025</v>
      </c>
      <c r="C471" s="1">
        <v>6</v>
      </c>
      <c r="D471" s="1" t="s">
        <v>141</v>
      </c>
      <c r="E471" s="1">
        <v>2</v>
      </c>
      <c r="F471" s="1" t="s">
        <v>131</v>
      </c>
      <c r="G471" s="1" t="s">
        <v>83</v>
      </c>
    </row>
    <row r="472" spans="1:7" x14ac:dyDescent="0.3">
      <c r="A472" s="48">
        <v>45822</v>
      </c>
      <c r="B472" s="1">
        <v>2025</v>
      </c>
      <c r="C472" s="1">
        <v>6</v>
      </c>
      <c r="D472" s="1" t="s">
        <v>141</v>
      </c>
      <c r="E472" s="1">
        <v>2</v>
      </c>
      <c r="F472" s="1" t="s">
        <v>132</v>
      </c>
      <c r="G472" s="1" t="s">
        <v>133</v>
      </c>
    </row>
    <row r="473" spans="1:7" x14ac:dyDescent="0.3">
      <c r="A473" s="48">
        <v>45823</v>
      </c>
      <c r="B473" s="1">
        <v>2025</v>
      </c>
      <c r="C473" s="1">
        <v>6</v>
      </c>
      <c r="D473" s="1" t="s">
        <v>141</v>
      </c>
      <c r="E473" s="1">
        <v>2</v>
      </c>
      <c r="F473" s="1" t="s">
        <v>134</v>
      </c>
      <c r="G473" s="1" t="s">
        <v>133</v>
      </c>
    </row>
    <row r="474" spans="1:7" x14ac:dyDescent="0.3">
      <c r="A474" s="48">
        <v>45824</v>
      </c>
      <c r="B474" s="1">
        <v>2025</v>
      </c>
      <c r="C474" s="1">
        <v>6</v>
      </c>
      <c r="D474" s="1" t="s">
        <v>141</v>
      </c>
      <c r="E474" s="1">
        <v>2</v>
      </c>
      <c r="F474" s="1" t="s">
        <v>135</v>
      </c>
      <c r="G474" s="1" t="s">
        <v>83</v>
      </c>
    </row>
    <row r="475" spans="1:7" x14ac:dyDescent="0.3">
      <c r="A475" s="48">
        <v>45825</v>
      </c>
      <c r="B475" s="1">
        <v>2025</v>
      </c>
      <c r="C475" s="1">
        <v>6</v>
      </c>
      <c r="D475" s="1" t="s">
        <v>141</v>
      </c>
      <c r="E475" s="1">
        <v>2</v>
      </c>
      <c r="F475" s="1" t="s">
        <v>136</v>
      </c>
      <c r="G475" s="1" t="s">
        <v>83</v>
      </c>
    </row>
    <row r="476" spans="1:7" x14ac:dyDescent="0.3">
      <c r="A476" s="48">
        <v>45826</v>
      </c>
      <c r="B476" s="1">
        <v>2025</v>
      </c>
      <c r="C476" s="1">
        <v>6</v>
      </c>
      <c r="D476" s="1" t="s">
        <v>141</v>
      </c>
      <c r="E476" s="1">
        <v>2</v>
      </c>
      <c r="F476" s="1" t="s">
        <v>137</v>
      </c>
      <c r="G476" s="1" t="s">
        <v>83</v>
      </c>
    </row>
    <row r="477" spans="1:7" x14ac:dyDescent="0.3">
      <c r="A477" s="48">
        <v>45827</v>
      </c>
      <c r="B477" s="1">
        <v>2025</v>
      </c>
      <c r="C477" s="1">
        <v>6</v>
      </c>
      <c r="D477" s="1" t="s">
        <v>141</v>
      </c>
      <c r="E477" s="1">
        <v>2</v>
      </c>
      <c r="F477" s="1" t="s">
        <v>138</v>
      </c>
      <c r="G477" s="1" t="s">
        <v>83</v>
      </c>
    </row>
    <row r="478" spans="1:7" x14ac:dyDescent="0.3">
      <c r="A478" s="48">
        <v>45828</v>
      </c>
      <c r="B478" s="1">
        <v>2025</v>
      </c>
      <c r="C478" s="1">
        <v>6</v>
      </c>
      <c r="D478" s="1" t="s">
        <v>141</v>
      </c>
      <c r="E478" s="1">
        <v>2</v>
      </c>
      <c r="F478" s="1" t="s">
        <v>131</v>
      </c>
      <c r="G478" s="1" t="s">
        <v>83</v>
      </c>
    </row>
    <row r="479" spans="1:7" x14ac:dyDescent="0.3">
      <c r="A479" s="48">
        <v>45829</v>
      </c>
      <c r="B479" s="1">
        <v>2025</v>
      </c>
      <c r="C479" s="1">
        <v>6</v>
      </c>
      <c r="D479" s="1" t="s">
        <v>141</v>
      </c>
      <c r="E479" s="1">
        <v>2</v>
      </c>
      <c r="F479" s="1" t="s">
        <v>132</v>
      </c>
      <c r="G479" s="1" t="s">
        <v>133</v>
      </c>
    </row>
    <row r="480" spans="1:7" x14ac:dyDescent="0.3">
      <c r="A480" s="48">
        <v>45830</v>
      </c>
      <c r="B480" s="1">
        <v>2025</v>
      </c>
      <c r="C480" s="1">
        <v>6</v>
      </c>
      <c r="D480" s="1" t="s">
        <v>141</v>
      </c>
      <c r="E480" s="1">
        <v>2</v>
      </c>
      <c r="F480" s="1" t="s">
        <v>134</v>
      </c>
      <c r="G480" s="1" t="s">
        <v>133</v>
      </c>
    </row>
    <row r="481" spans="1:7" x14ac:dyDescent="0.3">
      <c r="A481" s="48">
        <v>45831</v>
      </c>
      <c r="B481" s="1">
        <v>2025</v>
      </c>
      <c r="C481" s="1">
        <v>6</v>
      </c>
      <c r="D481" s="1" t="s">
        <v>141</v>
      </c>
      <c r="E481" s="1">
        <v>2</v>
      </c>
      <c r="F481" s="1" t="s">
        <v>135</v>
      </c>
      <c r="G481" s="1" t="s">
        <v>83</v>
      </c>
    </row>
    <row r="482" spans="1:7" x14ac:dyDescent="0.3">
      <c r="A482" s="48">
        <v>45832</v>
      </c>
      <c r="B482" s="1">
        <v>2025</v>
      </c>
      <c r="C482" s="1">
        <v>6</v>
      </c>
      <c r="D482" s="1" t="s">
        <v>141</v>
      </c>
      <c r="E482" s="1">
        <v>2</v>
      </c>
      <c r="F482" s="1" t="s">
        <v>136</v>
      </c>
      <c r="G482" s="1" t="s">
        <v>83</v>
      </c>
    </row>
    <row r="483" spans="1:7" x14ac:dyDescent="0.3">
      <c r="A483" s="48">
        <v>45833</v>
      </c>
      <c r="B483" s="1">
        <v>2025</v>
      </c>
      <c r="C483" s="1">
        <v>6</v>
      </c>
      <c r="D483" s="1" t="s">
        <v>141</v>
      </c>
      <c r="E483" s="1">
        <v>2</v>
      </c>
      <c r="F483" s="1" t="s">
        <v>137</v>
      </c>
      <c r="G483" s="1" t="s">
        <v>83</v>
      </c>
    </row>
    <row r="484" spans="1:7" x14ac:dyDescent="0.3">
      <c r="A484" s="48">
        <v>45834</v>
      </c>
      <c r="B484" s="1">
        <v>2025</v>
      </c>
      <c r="C484" s="1">
        <v>6</v>
      </c>
      <c r="D484" s="1" t="s">
        <v>141</v>
      </c>
      <c r="E484" s="1">
        <v>2</v>
      </c>
      <c r="F484" s="1" t="s">
        <v>138</v>
      </c>
      <c r="G484" s="1" t="s">
        <v>83</v>
      </c>
    </row>
    <row r="485" spans="1:7" x14ac:dyDescent="0.3">
      <c r="A485" s="48">
        <v>45835</v>
      </c>
      <c r="B485" s="1">
        <v>2025</v>
      </c>
      <c r="C485" s="1">
        <v>6</v>
      </c>
      <c r="D485" s="1" t="s">
        <v>141</v>
      </c>
      <c r="E485" s="1">
        <v>2</v>
      </c>
      <c r="F485" s="1" t="s">
        <v>131</v>
      </c>
      <c r="G485" s="1" t="s">
        <v>83</v>
      </c>
    </row>
    <row r="486" spans="1:7" x14ac:dyDescent="0.3">
      <c r="A486" s="48">
        <v>45836</v>
      </c>
      <c r="B486" s="1">
        <v>2025</v>
      </c>
      <c r="C486" s="1">
        <v>6</v>
      </c>
      <c r="D486" s="1" t="s">
        <v>141</v>
      </c>
      <c r="E486" s="1">
        <v>2</v>
      </c>
      <c r="F486" s="1" t="s">
        <v>132</v>
      </c>
      <c r="G486" s="1" t="s">
        <v>133</v>
      </c>
    </row>
    <row r="487" spans="1:7" x14ac:dyDescent="0.3">
      <c r="A487" s="48">
        <v>45837</v>
      </c>
      <c r="B487" s="1">
        <v>2025</v>
      </c>
      <c r="C487" s="1">
        <v>6</v>
      </c>
      <c r="D487" s="1" t="s">
        <v>141</v>
      </c>
      <c r="E487" s="1">
        <v>2</v>
      </c>
      <c r="F487" s="1" t="s">
        <v>134</v>
      </c>
      <c r="G487" s="1" t="s">
        <v>133</v>
      </c>
    </row>
    <row r="488" spans="1:7" x14ac:dyDescent="0.3">
      <c r="A488" s="48">
        <v>45838</v>
      </c>
      <c r="B488" s="1">
        <v>2025</v>
      </c>
      <c r="C488" s="1">
        <v>6</v>
      </c>
      <c r="D488" s="1" t="s">
        <v>141</v>
      </c>
      <c r="E488" s="1">
        <v>2</v>
      </c>
      <c r="F488" s="1" t="s">
        <v>135</v>
      </c>
      <c r="G488" s="1" t="s">
        <v>83</v>
      </c>
    </row>
    <row r="489" spans="1:7" x14ac:dyDescent="0.3">
      <c r="A489" s="48">
        <v>45839</v>
      </c>
      <c r="B489" s="1">
        <v>2025</v>
      </c>
      <c r="C489" s="1">
        <v>7</v>
      </c>
      <c r="D489" s="1" t="s">
        <v>142</v>
      </c>
      <c r="E489" s="1">
        <v>3</v>
      </c>
      <c r="F489" s="1" t="s">
        <v>136</v>
      </c>
      <c r="G489" s="1" t="s">
        <v>83</v>
      </c>
    </row>
    <row r="490" spans="1:7" x14ac:dyDescent="0.3">
      <c r="A490" s="48">
        <v>45840</v>
      </c>
      <c r="B490" s="1">
        <v>2025</v>
      </c>
      <c r="C490" s="1">
        <v>7</v>
      </c>
      <c r="D490" s="1" t="s">
        <v>142</v>
      </c>
      <c r="E490" s="1">
        <v>3</v>
      </c>
      <c r="F490" s="1" t="s">
        <v>137</v>
      </c>
      <c r="G490" s="1" t="s">
        <v>83</v>
      </c>
    </row>
    <row r="491" spans="1:7" x14ac:dyDescent="0.3">
      <c r="A491" s="48">
        <v>45841</v>
      </c>
      <c r="B491" s="1">
        <v>2025</v>
      </c>
      <c r="C491" s="1">
        <v>7</v>
      </c>
      <c r="D491" s="1" t="s">
        <v>142</v>
      </c>
      <c r="E491" s="1">
        <v>3</v>
      </c>
      <c r="F491" s="1" t="s">
        <v>138</v>
      </c>
      <c r="G491" s="1" t="s">
        <v>83</v>
      </c>
    </row>
    <row r="492" spans="1:7" x14ac:dyDescent="0.3">
      <c r="A492" s="48">
        <v>45842</v>
      </c>
      <c r="B492" s="1">
        <v>2025</v>
      </c>
      <c r="C492" s="1">
        <v>7</v>
      </c>
      <c r="D492" s="1" t="s">
        <v>142</v>
      </c>
      <c r="E492" s="1">
        <v>3</v>
      </c>
      <c r="F492" s="1" t="s">
        <v>131</v>
      </c>
      <c r="G492" s="1" t="s">
        <v>83</v>
      </c>
    </row>
    <row r="493" spans="1:7" x14ac:dyDescent="0.3">
      <c r="A493" s="48">
        <v>45843</v>
      </c>
      <c r="B493" s="1">
        <v>2025</v>
      </c>
      <c r="C493" s="1">
        <v>7</v>
      </c>
      <c r="D493" s="1" t="s">
        <v>142</v>
      </c>
      <c r="E493" s="1">
        <v>3</v>
      </c>
      <c r="F493" s="1" t="s">
        <v>132</v>
      </c>
      <c r="G493" s="1" t="s">
        <v>133</v>
      </c>
    </row>
    <row r="494" spans="1:7" x14ac:dyDescent="0.3">
      <c r="A494" s="48">
        <v>45844</v>
      </c>
      <c r="B494" s="1">
        <v>2025</v>
      </c>
      <c r="C494" s="1">
        <v>7</v>
      </c>
      <c r="D494" s="1" t="s">
        <v>142</v>
      </c>
      <c r="E494" s="1">
        <v>3</v>
      </c>
      <c r="F494" s="1" t="s">
        <v>134</v>
      </c>
      <c r="G494" s="1" t="s">
        <v>133</v>
      </c>
    </row>
    <row r="495" spans="1:7" x14ac:dyDescent="0.3">
      <c r="A495" s="48">
        <v>45845</v>
      </c>
      <c r="B495" s="1">
        <v>2025</v>
      </c>
      <c r="C495" s="1">
        <v>7</v>
      </c>
      <c r="D495" s="1" t="s">
        <v>142</v>
      </c>
      <c r="E495" s="1">
        <v>3</v>
      </c>
      <c r="F495" s="1" t="s">
        <v>135</v>
      </c>
      <c r="G495" s="1" t="s">
        <v>83</v>
      </c>
    </row>
    <row r="496" spans="1:7" x14ac:dyDescent="0.3">
      <c r="A496" s="48">
        <v>45846</v>
      </c>
      <c r="B496" s="1">
        <v>2025</v>
      </c>
      <c r="C496" s="1">
        <v>7</v>
      </c>
      <c r="D496" s="1" t="s">
        <v>142</v>
      </c>
      <c r="E496" s="1">
        <v>3</v>
      </c>
      <c r="F496" s="1" t="s">
        <v>136</v>
      </c>
      <c r="G496" s="1" t="s">
        <v>83</v>
      </c>
    </row>
    <row r="497" spans="1:7" x14ac:dyDescent="0.3">
      <c r="A497" s="48">
        <v>45847</v>
      </c>
      <c r="B497" s="1">
        <v>2025</v>
      </c>
      <c r="C497" s="1">
        <v>7</v>
      </c>
      <c r="D497" s="1" t="s">
        <v>142</v>
      </c>
      <c r="E497" s="1">
        <v>3</v>
      </c>
      <c r="F497" s="1" t="s">
        <v>137</v>
      </c>
      <c r="G497" s="1" t="s">
        <v>83</v>
      </c>
    </row>
    <row r="498" spans="1:7" x14ac:dyDescent="0.3">
      <c r="A498" s="48">
        <v>45848</v>
      </c>
      <c r="B498" s="1">
        <v>2025</v>
      </c>
      <c r="C498" s="1">
        <v>7</v>
      </c>
      <c r="D498" s="1" t="s">
        <v>142</v>
      </c>
      <c r="E498" s="1">
        <v>3</v>
      </c>
      <c r="F498" s="1" t="s">
        <v>138</v>
      </c>
      <c r="G498" s="1" t="s">
        <v>83</v>
      </c>
    </row>
    <row r="499" spans="1:7" x14ac:dyDescent="0.3">
      <c r="A499" s="48">
        <v>45849</v>
      </c>
      <c r="B499" s="1">
        <v>2025</v>
      </c>
      <c r="C499" s="1">
        <v>7</v>
      </c>
      <c r="D499" s="1" t="s">
        <v>142</v>
      </c>
      <c r="E499" s="1">
        <v>3</v>
      </c>
      <c r="F499" s="1" t="s">
        <v>131</v>
      </c>
      <c r="G499" s="1" t="s">
        <v>83</v>
      </c>
    </row>
    <row r="500" spans="1:7" x14ac:dyDescent="0.3">
      <c r="A500" s="48">
        <v>45850</v>
      </c>
      <c r="B500" s="1">
        <v>2025</v>
      </c>
      <c r="C500" s="1">
        <v>7</v>
      </c>
      <c r="D500" s="1" t="s">
        <v>142</v>
      </c>
      <c r="E500" s="1">
        <v>3</v>
      </c>
      <c r="F500" s="1" t="s">
        <v>132</v>
      </c>
      <c r="G500" s="1" t="s">
        <v>133</v>
      </c>
    </row>
    <row r="501" spans="1:7" x14ac:dyDescent="0.3">
      <c r="A501" s="48">
        <v>45851</v>
      </c>
      <c r="B501" s="1">
        <v>2025</v>
      </c>
      <c r="C501" s="1">
        <v>7</v>
      </c>
      <c r="D501" s="1" t="s">
        <v>142</v>
      </c>
      <c r="E501" s="1">
        <v>3</v>
      </c>
      <c r="F501" s="1" t="s">
        <v>134</v>
      </c>
      <c r="G501" s="1" t="s">
        <v>133</v>
      </c>
    </row>
    <row r="502" spans="1:7" x14ac:dyDescent="0.3">
      <c r="A502" s="48">
        <v>45852</v>
      </c>
      <c r="B502" s="1">
        <v>2025</v>
      </c>
      <c r="C502" s="1">
        <v>7</v>
      </c>
      <c r="D502" s="1" t="s">
        <v>142</v>
      </c>
      <c r="E502" s="1">
        <v>3</v>
      </c>
      <c r="F502" s="1" t="s">
        <v>135</v>
      </c>
      <c r="G502" s="1" t="s">
        <v>83</v>
      </c>
    </row>
    <row r="503" spans="1:7" x14ac:dyDescent="0.3">
      <c r="A503" s="48">
        <v>45853</v>
      </c>
      <c r="B503" s="1">
        <v>2025</v>
      </c>
      <c r="C503" s="1">
        <v>7</v>
      </c>
      <c r="D503" s="1" t="s">
        <v>142</v>
      </c>
      <c r="E503" s="1">
        <v>3</v>
      </c>
      <c r="F503" s="1" t="s">
        <v>136</v>
      </c>
      <c r="G503" s="1" t="s">
        <v>83</v>
      </c>
    </row>
    <row r="504" spans="1:7" x14ac:dyDescent="0.3">
      <c r="A504" s="48">
        <v>45854</v>
      </c>
      <c r="B504" s="1">
        <v>2025</v>
      </c>
      <c r="C504" s="1">
        <v>7</v>
      </c>
      <c r="D504" s="1" t="s">
        <v>142</v>
      </c>
      <c r="E504" s="1">
        <v>3</v>
      </c>
      <c r="F504" s="1" t="s">
        <v>137</v>
      </c>
      <c r="G504" s="1" t="s">
        <v>83</v>
      </c>
    </row>
    <row r="505" spans="1:7" x14ac:dyDescent="0.3">
      <c r="A505" s="48">
        <v>45855</v>
      </c>
      <c r="B505" s="1">
        <v>2025</v>
      </c>
      <c r="C505" s="1">
        <v>7</v>
      </c>
      <c r="D505" s="1" t="s">
        <v>142</v>
      </c>
      <c r="E505" s="1">
        <v>3</v>
      </c>
      <c r="F505" s="1" t="s">
        <v>138</v>
      </c>
      <c r="G505" s="1" t="s">
        <v>83</v>
      </c>
    </row>
    <row r="506" spans="1:7" x14ac:dyDescent="0.3">
      <c r="A506" s="48">
        <v>45856</v>
      </c>
      <c r="B506" s="1">
        <v>2025</v>
      </c>
      <c r="C506" s="1">
        <v>7</v>
      </c>
      <c r="D506" s="1" t="s">
        <v>142</v>
      </c>
      <c r="E506" s="1">
        <v>3</v>
      </c>
      <c r="F506" s="1" t="s">
        <v>131</v>
      </c>
      <c r="G506" s="1" t="s">
        <v>83</v>
      </c>
    </row>
    <row r="507" spans="1:7" x14ac:dyDescent="0.3">
      <c r="A507" s="48">
        <v>45857</v>
      </c>
      <c r="B507" s="1">
        <v>2025</v>
      </c>
      <c r="C507" s="1">
        <v>7</v>
      </c>
      <c r="D507" s="1" t="s">
        <v>142</v>
      </c>
      <c r="E507" s="1">
        <v>3</v>
      </c>
      <c r="F507" s="1" t="s">
        <v>132</v>
      </c>
      <c r="G507" s="1" t="s">
        <v>133</v>
      </c>
    </row>
    <row r="508" spans="1:7" x14ac:dyDescent="0.3">
      <c r="A508" s="48">
        <v>45858</v>
      </c>
      <c r="B508" s="1">
        <v>2025</v>
      </c>
      <c r="C508" s="1">
        <v>7</v>
      </c>
      <c r="D508" s="1" t="s">
        <v>142</v>
      </c>
      <c r="E508" s="1">
        <v>3</v>
      </c>
      <c r="F508" s="1" t="s">
        <v>134</v>
      </c>
      <c r="G508" s="1" t="s">
        <v>133</v>
      </c>
    </row>
    <row r="509" spans="1:7" x14ac:dyDescent="0.3">
      <c r="A509" s="48">
        <v>45859</v>
      </c>
      <c r="B509" s="1">
        <v>2025</v>
      </c>
      <c r="C509" s="1">
        <v>7</v>
      </c>
      <c r="D509" s="1" t="s">
        <v>142</v>
      </c>
      <c r="E509" s="1">
        <v>3</v>
      </c>
      <c r="F509" s="1" t="s">
        <v>135</v>
      </c>
      <c r="G509" s="1" t="s">
        <v>83</v>
      </c>
    </row>
    <row r="510" spans="1:7" x14ac:dyDescent="0.3">
      <c r="A510" s="48">
        <v>45860</v>
      </c>
      <c r="B510" s="1">
        <v>2025</v>
      </c>
      <c r="C510" s="1">
        <v>7</v>
      </c>
      <c r="D510" s="1" t="s">
        <v>142</v>
      </c>
      <c r="E510" s="1">
        <v>3</v>
      </c>
      <c r="F510" s="1" t="s">
        <v>136</v>
      </c>
      <c r="G510" s="1" t="s">
        <v>83</v>
      </c>
    </row>
    <row r="511" spans="1:7" x14ac:dyDescent="0.3">
      <c r="A511" s="48">
        <v>45861</v>
      </c>
      <c r="B511" s="1">
        <v>2025</v>
      </c>
      <c r="C511" s="1">
        <v>7</v>
      </c>
      <c r="D511" s="1" t="s">
        <v>142</v>
      </c>
      <c r="E511" s="1">
        <v>3</v>
      </c>
      <c r="F511" s="1" t="s">
        <v>137</v>
      </c>
      <c r="G511" s="1" t="s">
        <v>83</v>
      </c>
    </row>
    <row r="512" spans="1:7" x14ac:dyDescent="0.3">
      <c r="A512" s="48">
        <v>45862</v>
      </c>
      <c r="B512" s="1">
        <v>2025</v>
      </c>
      <c r="C512" s="1">
        <v>7</v>
      </c>
      <c r="D512" s="1" t="s">
        <v>142</v>
      </c>
      <c r="E512" s="1">
        <v>3</v>
      </c>
      <c r="F512" s="1" t="s">
        <v>138</v>
      </c>
      <c r="G512" s="1" t="s">
        <v>83</v>
      </c>
    </row>
    <row r="513" spans="1:7" x14ac:dyDescent="0.3">
      <c r="A513" s="48">
        <v>45863</v>
      </c>
      <c r="B513" s="1">
        <v>2025</v>
      </c>
      <c r="C513" s="1">
        <v>7</v>
      </c>
      <c r="D513" s="1" t="s">
        <v>142</v>
      </c>
      <c r="E513" s="1">
        <v>3</v>
      </c>
      <c r="F513" s="1" t="s">
        <v>131</v>
      </c>
      <c r="G513" s="1" t="s">
        <v>83</v>
      </c>
    </row>
    <row r="514" spans="1:7" x14ac:dyDescent="0.3">
      <c r="A514" s="48">
        <v>45864</v>
      </c>
      <c r="B514" s="1">
        <v>2025</v>
      </c>
      <c r="C514" s="1">
        <v>7</v>
      </c>
      <c r="D514" s="1" t="s">
        <v>142</v>
      </c>
      <c r="E514" s="1">
        <v>3</v>
      </c>
      <c r="F514" s="1" t="s">
        <v>132</v>
      </c>
      <c r="G514" s="1" t="s">
        <v>133</v>
      </c>
    </row>
    <row r="515" spans="1:7" x14ac:dyDescent="0.3">
      <c r="A515" s="48">
        <v>45865</v>
      </c>
      <c r="B515" s="1">
        <v>2025</v>
      </c>
      <c r="C515" s="1">
        <v>7</v>
      </c>
      <c r="D515" s="1" t="s">
        <v>142</v>
      </c>
      <c r="E515" s="1">
        <v>3</v>
      </c>
      <c r="F515" s="1" t="s">
        <v>134</v>
      </c>
      <c r="G515" s="1" t="s">
        <v>133</v>
      </c>
    </row>
    <row r="516" spans="1:7" x14ac:dyDescent="0.3">
      <c r="A516" s="48">
        <v>45866</v>
      </c>
      <c r="B516" s="1">
        <v>2025</v>
      </c>
      <c r="C516" s="1">
        <v>7</v>
      </c>
      <c r="D516" s="1" t="s">
        <v>142</v>
      </c>
      <c r="E516" s="1">
        <v>3</v>
      </c>
      <c r="F516" s="1" t="s">
        <v>135</v>
      </c>
      <c r="G516" s="1" t="s">
        <v>83</v>
      </c>
    </row>
    <row r="517" spans="1:7" x14ac:dyDescent="0.3">
      <c r="A517" s="48">
        <v>45867</v>
      </c>
      <c r="B517" s="1">
        <v>2025</v>
      </c>
      <c r="C517" s="1">
        <v>7</v>
      </c>
      <c r="D517" s="1" t="s">
        <v>142</v>
      </c>
      <c r="E517" s="1">
        <v>3</v>
      </c>
      <c r="F517" s="1" t="s">
        <v>136</v>
      </c>
      <c r="G517" s="1" t="s">
        <v>83</v>
      </c>
    </row>
    <row r="518" spans="1:7" x14ac:dyDescent="0.3">
      <c r="A518" s="48">
        <v>45868</v>
      </c>
      <c r="B518" s="1">
        <v>2025</v>
      </c>
      <c r="C518" s="1">
        <v>7</v>
      </c>
      <c r="D518" s="1" t="s">
        <v>142</v>
      </c>
      <c r="E518" s="1">
        <v>3</v>
      </c>
      <c r="F518" s="1" t="s">
        <v>137</v>
      </c>
      <c r="G518" s="1" t="s">
        <v>83</v>
      </c>
    </row>
    <row r="519" spans="1:7" x14ac:dyDescent="0.3">
      <c r="A519" s="48">
        <v>45869</v>
      </c>
      <c r="B519" s="1">
        <v>2025</v>
      </c>
      <c r="C519" s="1">
        <v>7</v>
      </c>
      <c r="D519" s="1" t="s">
        <v>142</v>
      </c>
      <c r="E519" s="1">
        <v>3</v>
      </c>
      <c r="F519" s="1" t="s">
        <v>138</v>
      </c>
      <c r="G519" s="1" t="s">
        <v>83</v>
      </c>
    </row>
    <row r="520" spans="1:7" x14ac:dyDescent="0.3">
      <c r="A520" s="48">
        <v>45870</v>
      </c>
      <c r="B520" s="1">
        <v>2025</v>
      </c>
      <c r="C520" s="1">
        <v>8</v>
      </c>
      <c r="D520" s="1" t="s">
        <v>143</v>
      </c>
      <c r="E520" s="1">
        <v>3</v>
      </c>
      <c r="F520" s="1" t="s">
        <v>131</v>
      </c>
      <c r="G520" s="1" t="s">
        <v>83</v>
      </c>
    </row>
    <row r="521" spans="1:7" x14ac:dyDescent="0.3">
      <c r="A521" s="48">
        <v>45871</v>
      </c>
      <c r="B521" s="1">
        <v>2025</v>
      </c>
      <c r="C521" s="1">
        <v>8</v>
      </c>
      <c r="D521" s="1" t="s">
        <v>143</v>
      </c>
      <c r="E521" s="1">
        <v>3</v>
      </c>
      <c r="F521" s="1" t="s">
        <v>132</v>
      </c>
      <c r="G521" s="1" t="s">
        <v>133</v>
      </c>
    </row>
    <row r="522" spans="1:7" x14ac:dyDescent="0.3">
      <c r="A522" s="48">
        <v>45872</v>
      </c>
      <c r="B522" s="1">
        <v>2025</v>
      </c>
      <c r="C522" s="1">
        <v>8</v>
      </c>
      <c r="D522" s="1" t="s">
        <v>143</v>
      </c>
      <c r="E522" s="1">
        <v>3</v>
      </c>
      <c r="F522" s="1" t="s">
        <v>134</v>
      </c>
      <c r="G522" s="1" t="s">
        <v>133</v>
      </c>
    </row>
    <row r="523" spans="1:7" x14ac:dyDescent="0.3">
      <c r="A523" s="48">
        <v>45873</v>
      </c>
      <c r="B523" s="1">
        <v>2025</v>
      </c>
      <c r="C523" s="1">
        <v>8</v>
      </c>
      <c r="D523" s="1" t="s">
        <v>143</v>
      </c>
      <c r="E523" s="1">
        <v>3</v>
      </c>
      <c r="F523" s="1" t="s">
        <v>135</v>
      </c>
      <c r="G523" s="1" t="s">
        <v>83</v>
      </c>
    </row>
    <row r="524" spans="1:7" x14ac:dyDescent="0.3">
      <c r="A524" s="48">
        <v>45874</v>
      </c>
      <c r="B524" s="1">
        <v>2025</v>
      </c>
      <c r="C524" s="1">
        <v>8</v>
      </c>
      <c r="D524" s="1" t="s">
        <v>143</v>
      </c>
      <c r="E524" s="1">
        <v>3</v>
      </c>
      <c r="F524" s="1" t="s">
        <v>136</v>
      </c>
      <c r="G524" s="1" t="s">
        <v>83</v>
      </c>
    </row>
    <row r="525" spans="1:7" x14ac:dyDescent="0.3">
      <c r="A525" s="48">
        <v>45875</v>
      </c>
      <c r="B525" s="1">
        <v>2025</v>
      </c>
      <c r="C525" s="1">
        <v>8</v>
      </c>
      <c r="D525" s="1" t="s">
        <v>143</v>
      </c>
      <c r="E525" s="1">
        <v>3</v>
      </c>
      <c r="F525" s="1" t="s">
        <v>137</v>
      </c>
      <c r="G525" s="1" t="s">
        <v>83</v>
      </c>
    </row>
    <row r="526" spans="1:7" x14ac:dyDescent="0.3">
      <c r="A526" s="48">
        <v>45876</v>
      </c>
      <c r="B526" s="1">
        <v>2025</v>
      </c>
      <c r="C526" s="1">
        <v>8</v>
      </c>
      <c r="D526" s="1" t="s">
        <v>143</v>
      </c>
      <c r="E526" s="1">
        <v>3</v>
      </c>
      <c r="F526" s="1" t="s">
        <v>138</v>
      </c>
      <c r="G526" s="1" t="s">
        <v>83</v>
      </c>
    </row>
    <row r="527" spans="1:7" x14ac:dyDescent="0.3">
      <c r="A527" s="48">
        <v>45877</v>
      </c>
      <c r="B527" s="1">
        <v>2025</v>
      </c>
      <c r="C527" s="1">
        <v>8</v>
      </c>
      <c r="D527" s="1" t="s">
        <v>143</v>
      </c>
      <c r="E527" s="1">
        <v>3</v>
      </c>
      <c r="F527" s="1" t="s">
        <v>131</v>
      </c>
      <c r="G527" s="1" t="s">
        <v>83</v>
      </c>
    </row>
    <row r="528" spans="1:7" x14ac:dyDescent="0.3">
      <c r="A528" s="48">
        <v>45878</v>
      </c>
      <c r="B528" s="1">
        <v>2025</v>
      </c>
      <c r="C528" s="1">
        <v>8</v>
      </c>
      <c r="D528" s="1" t="s">
        <v>143</v>
      </c>
      <c r="E528" s="1">
        <v>3</v>
      </c>
      <c r="F528" s="1" t="s">
        <v>132</v>
      </c>
      <c r="G528" s="1" t="s">
        <v>133</v>
      </c>
    </row>
    <row r="529" spans="1:7" x14ac:dyDescent="0.3">
      <c r="A529" s="48">
        <v>45879</v>
      </c>
      <c r="B529" s="1">
        <v>2025</v>
      </c>
      <c r="C529" s="1">
        <v>8</v>
      </c>
      <c r="D529" s="1" t="s">
        <v>143</v>
      </c>
      <c r="E529" s="1">
        <v>3</v>
      </c>
      <c r="F529" s="1" t="s">
        <v>134</v>
      </c>
      <c r="G529" s="1" t="s">
        <v>133</v>
      </c>
    </row>
    <row r="530" spans="1:7" x14ac:dyDescent="0.3">
      <c r="A530" s="48">
        <v>45880</v>
      </c>
      <c r="B530" s="1">
        <v>2025</v>
      </c>
      <c r="C530" s="1">
        <v>8</v>
      </c>
      <c r="D530" s="1" t="s">
        <v>143</v>
      </c>
      <c r="E530" s="1">
        <v>3</v>
      </c>
      <c r="F530" s="1" t="s">
        <v>135</v>
      </c>
      <c r="G530" s="1" t="s">
        <v>83</v>
      </c>
    </row>
    <row r="531" spans="1:7" x14ac:dyDescent="0.3">
      <c r="A531" s="48">
        <v>45881</v>
      </c>
      <c r="B531" s="1">
        <v>2025</v>
      </c>
      <c r="C531" s="1">
        <v>8</v>
      </c>
      <c r="D531" s="1" t="s">
        <v>143</v>
      </c>
      <c r="E531" s="1">
        <v>3</v>
      </c>
      <c r="F531" s="1" t="s">
        <v>136</v>
      </c>
      <c r="G531" s="1" t="s">
        <v>83</v>
      </c>
    </row>
    <row r="532" spans="1:7" x14ac:dyDescent="0.3">
      <c r="A532" s="48">
        <v>45882</v>
      </c>
      <c r="B532" s="1">
        <v>2025</v>
      </c>
      <c r="C532" s="1">
        <v>8</v>
      </c>
      <c r="D532" s="1" t="s">
        <v>143</v>
      </c>
      <c r="E532" s="1">
        <v>3</v>
      </c>
      <c r="F532" s="1" t="s">
        <v>137</v>
      </c>
      <c r="G532" s="1" t="s">
        <v>83</v>
      </c>
    </row>
    <row r="533" spans="1:7" x14ac:dyDescent="0.3">
      <c r="A533" s="48">
        <v>45883</v>
      </c>
      <c r="B533" s="1">
        <v>2025</v>
      </c>
      <c r="C533" s="1">
        <v>8</v>
      </c>
      <c r="D533" s="1" t="s">
        <v>143</v>
      </c>
      <c r="E533" s="1">
        <v>3</v>
      </c>
      <c r="F533" s="1" t="s">
        <v>138</v>
      </c>
      <c r="G533" s="1" t="s">
        <v>83</v>
      </c>
    </row>
    <row r="534" spans="1:7" x14ac:dyDescent="0.3">
      <c r="A534" s="48">
        <v>45884</v>
      </c>
      <c r="B534" s="1">
        <v>2025</v>
      </c>
      <c r="C534" s="1">
        <v>8</v>
      </c>
      <c r="D534" s="1" t="s">
        <v>143</v>
      </c>
      <c r="E534" s="1">
        <v>3</v>
      </c>
      <c r="F534" s="1" t="s">
        <v>131</v>
      </c>
      <c r="G534" s="1" t="s">
        <v>83</v>
      </c>
    </row>
    <row r="535" spans="1:7" x14ac:dyDescent="0.3">
      <c r="A535" s="48">
        <v>45885</v>
      </c>
      <c r="B535" s="1">
        <v>2025</v>
      </c>
      <c r="C535" s="1">
        <v>8</v>
      </c>
      <c r="D535" s="1" t="s">
        <v>143</v>
      </c>
      <c r="E535" s="1">
        <v>3</v>
      </c>
      <c r="F535" s="1" t="s">
        <v>132</v>
      </c>
      <c r="G535" s="1" t="s">
        <v>133</v>
      </c>
    </row>
    <row r="536" spans="1:7" x14ac:dyDescent="0.3">
      <c r="A536" s="48">
        <v>45886</v>
      </c>
      <c r="B536" s="1">
        <v>2025</v>
      </c>
      <c r="C536" s="1">
        <v>8</v>
      </c>
      <c r="D536" s="1" t="s">
        <v>143</v>
      </c>
      <c r="E536" s="1">
        <v>3</v>
      </c>
      <c r="F536" s="1" t="s">
        <v>134</v>
      </c>
      <c r="G536" s="1" t="s">
        <v>133</v>
      </c>
    </row>
    <row r="537" spans="1:7" x14ac:dyDescent="0.3">
      <c r="A537" s="48">
        <v>45887</v>
      </c>
      <c r="B537" s="1">
        <v>2025</v>
      </c>
      <c r="C537" s="1">
        <v>8</v>
      </c>
      <c r="D537" s="1" t="s">
        <v>143</v>
      </c>
      <c r="E537" s="1">
        <v>3</v>
      </c>
      <c r="F537" s="1" t="s">
        <v>135</v>
      </c>
      <c r="G537" s="1" t="s">
        <v>83</v>
      </c>
    </row>
    <row r="538" spans="1:7" x14ac:dyDescent="0.3">
      <c r="A538" s="48">
        <v>45888</v>
      </c>
      <c r="B538" s="1">
        <v>2025</v>
      </c>
      <c r="C538" s="1">
        <v>8</v>
      </c>
      <c r="D538" s="1" t="s">
        <v>143</v>
      </c>
      <c r="E538" s="1">
        <v>3</v>
      </c>
      <c r="F538" s="1" t="s">
        <v>136</v>
      </c>
      <c r="G538" s="1" t="s">
        <v>83</v>
      </c>
    </row>
    <row r="539" spans="1:7" x14ac:dyDescent="0.3">
      <c r="A539" s="48">
        <v>45889</v>
      </c>
      <c r="B539" s="1">
        <v>2025</v>
      </c>
      <c r="C539" s="1">
        <v>8</v>
      </c>
      <c r="D539" s="1" t="s">
        <v>143</v>
      </c>
      <c r="E539" s="1">
        <v>3</v>
      </c>
      <c r="F539" s="1" t="s">
        <v>137</v>
      </c>
      <c r="G539" s="1" t="s">
        <v>83</v>
      </c>
    </row>
    <row r="540" spans="1:7" x14ac:dyDescent="0.3">
      <c r="A540" s="48">
        <v>45890</v>
      </c>
      <c r="B540" s="1">
        <v>2025</v>
      </c>
      <c r="C540" s="1">
        <v>8</v>
      </c>
      <c r="D540" s="1" t="s">
        <v>143</v>
      </c>
      <c r="E540" s="1">
        <v>3</v>
      </c>
      <c r="F540" s="1" t="s">
        <v>138</v>
      </c>
      <c r="G540" s="1" t="s">
        <v>83</v>
      </c>
    </row>
    <row r="541" spans="1:7" x14ac:dyDescent="0.3">
      <c r="A541" s="48">
        <v>45891</v>
      </c>
      <c r="B541" s="1">
        <v>2025</v>
      </c>
      <c r="C541" s="1">
        <v>8</v>
      </c>
      <c r="D541" s="1" t="s">
        <v>143</v>
      </c>
      <c r="E541" s="1">
        <v>3</v>
      </c>
      <c r="F541" s="1" t="s">
        <v>131</v>
      </c>
      <c r="G541" s="1" t="s">
        <v>83</v>
      </c>
    </row>
    <row r="542" spans="1:7" x14ac:dyDescent="0.3">
      <c r="A542" s="48">
        <v>45892</v>
      </c>
      <c r="B542" s="1">
        <v>2025</v>
      </c>
      <c r="C542" s="1">
        <v>8</v>
      </c>
      <c r="D542" s="1" t="s">
        <v>143</v>
      </c>
      <c r="E542" s="1">
        <v>3</v>
      </c>
      <c r="F542" s="1" t="s">
        <v>132</v>
      </c>
      <c r="G542" s="1" t="s">
        <v>133</v>
      </c>
    </row>
    <row r="543" spans="1:7" x14ac:dyDescent="0.3">
      <c r="A543" s="48">
        <v>45893</v>
      </c>
      <c r="B543" s="1">
        <v>2025</v>
      </c>
      <c r="C543" s="1">
        <v>8</v>
      </c>
      <c r="D543" s="1" t="s">
        <v>143</v>
      </c>
      <c r="E543" s="1">
        <v>3</v>
      </c>
      <c r="F543" s="1" t="s">
        <v>134</v>
      </c>
      <c r="G543" s="1" t="s">
        <v>133</v>
      </c>
    </row>
    <row r="544" spans="1:7" x14ac:dyDescent="0.3">
      <c r="A544" s="48">
        <v>45894</v>
      </c>
      <c r="B544" s="1">
        <v>2025</v>
      </c>
      <c r="C544" s="1">
        <v>8</v>
      </c>
      <c r="D544" s="1" t="s">
        <v>143</v>
      </c>
      <c r="E544" s="1">
        <v>3</v>
      </c>
      <c r="F544" s="1" t="s">
        <v>135</v>
      </c>
      <c r="G544" s="1" t="s">
        <v>83</v>
      </c>
    </row>
    <row r="545" spans="1:7" x14ac:dyDescent="0.3">
      <c r="A545" s="48">
        <v>45895</v>
      </c>
      <c r="B545" s="1">
        <v>2025</v>
      </c>
      <c r="C545" s="1">
        <v>8</v>
      </c>
      <c r="D545" s="1" t="s">
        <v>143</v>
      </c>
      <c r="E545" s="1">
        <v>3</v>
      </c>
      <c r="F545" s="1" t="s">
        <v>136</v>
      </c>
      <c r="G545" s="1" t="s">
        <v>83</v>
      </c>
    </row>
    <row r="546" spans="1:7" x14ac:dyDescent="0.3">
      <c r="A546" s="48">
        <v>45896</v>
      </c>
      <c r="B546" s="1">
        <v>2025</v>
      </c>
      <c r="C546" s="1">
        <v>8</v>
      </c>
      <c r="D546" s="1" t="s">
        <v>143</v>
      </c>
      <c r="E546" s="1">
        <v>3</v>
      </c>
      <c r="F546" s="1" t="s">
        <v>137</v>
      </c>
      <c r="G546" s="1" t="s">
        <v>83</v>
      </c>
    </row>
    <row r="547" spans="1:7" x14ac:dyDescent="0.3">
      <c r="A547" s="48">
        <v>45897</v>
      </c>
      <c r="B547" s="1">
        <v>2025</v>
      </c>
      <c r="C547" s="1">
        <v>8</v>
      </c>
      <c r="D547" s="1" t="s">
        <v>143</v>
      </c>
      <c r="E547" s="1">
        <v>3</v>
      </c>
      <c r="F547" s="1" t="s">
        <v>138</v>
      </c>
      <c r="G547" s="1" t="s">
        <v>83</v>
      </c>
    </row>
    <row r="548" spans="1:7" x14ac:dyDescent="0.3">
      <c r="A548" s="48">
        <v>45898</v>
      </c>
      <c r="B548" s="1">
        <v>2025</v>
      </c>
      <c r="C548" s="1">
        <v>8</v>
      </c>
      <c r="D548" s="1" t="s">
        <v>143</v>
      </c>
      <c r="E548" s="1">
        <v>3</v>
      </c>
      <c r="F548" s="1" t="s">
        <v>131</v>
      </c>
      <c r="G548" s="1" t="s">
        <v>83</v>
      </c>
    </row>
    <row r="549" spans="1:7" x14ac:dyDescent="0.3">
      <c r="A549" s="48">
        <v>45899</v>
      </c>
      <c r="B549" s="1">
        <v>2025</v>
      </c>
      <c r="C549" s="1">
        <v>8</v>
      </c>
      <c r="D549" s="1" t="s">
        <v>143</v>
      </c>
      <c r="E549" s="1">
        <v>3</v>
      </c>
      <c r="F549" s="1" t="s">
        <v>132</v>
      </c>
      <c r="G549" s="1" t="s">
        <v>133</v>
      </c>
    </row>
    <row r="550" spans="1:7" x14ac:dyDescent="0.3">
      <c r="A550" s="48">
        <v>45900</v>
      </c>
      <c r="B550" s="1">
        <v>2025</v>
      </c>
      <c r="C550" s="1">
        <v>8</v>
      </c>
      <c r="D550" s="1" t="s">
        <v>143</v>
      </c>
      <c r="E550" s="1">
        <v>3</v>
      </c>
      <c r="F550" s="1" t="s">
        <v>134</v>
      </c>
      <c r="G550" s="1" t="s">
        <v>133</v>
      </c>
    </row>
    <row r="551" spans="1:7" x14ac:dyDescent="0.3">
      <c r="A551" s="48">
        <v>45901</v>
      </c>
      <c r="B551" s="1">
        <v>2025</v>
      </c>
      <c r="C551" s="1">
        <v>9</v>
      </c>
      <c r="D551" s="1" t="s">
        <v>144</v>
      </c>
      <c r="E551" s="1">
        <v>3</v>
      </c>
      <c r="F551" s="1" t="s">
        <v>135</v>
      </c>
      <c r="G551" s="1" t="s">
        <v>83</v>
      </c>
    </row>
    <row r="552" spans="1:7" x14ac:dyDescent="0.3">
      <c r="A552" s="48">
        <v>45902</v>
      </c>
      <c r="B552" s="1">
        <v>2025</v>
      </c>
      <c r="C552" s="1">
        <v>9</v>
      </c>
      <c r="D552" s="1" t="s">
        <v>144</v>
      </c>
      <c r="E552" s="1">
        <v>3</v>
      </c>
      <c r="F552" s="1" t="s">
        <v>136</v>
      </c>
      <c r="G552" s="1" t="s">
        <v>83</v>
      </c>
    </row>
    <row r="553" spans="1:7" x14ac:dyDescent="0.3">
      <c r="A553" s="48">
        <v>45903</v>
      </c>
      <c r="B553" s="1">
        <v>2025</v>
      </c>
      <c r="C553" s="1">
        <v>9</v>
      </c>
      <c r="D553" s="1" t="s">
        <v>144</v>
      </c>
      <c r="E553" s="1">
        <v>3</v>
      </c>
      <c r="F553" s="1" t="s">
        <v>137</v>
      </c>
      <c r="G553" s="1" t="s">
        <v>83</v>
      </c>
    </row>
    <row r="554" spans="1:7" x14ac:dyDescent="0.3">
      <c r="A554" s="48">
        <v>45904</v>
      </c>
      <c r="B554" s="1">
        <v>2025</v>
      </c>
      <c r="C554" s="1">
        <v>9</v>
      </c>
      <c r="D554" s="1" t="s">
        <v>144</v>
      </c>
      <c r="E554" s="1">
        <v>3</v>
      </c>
      <c r="F554" s="1" t="s">
        <v>138</v>
      </c>
      <c r="G554" s="1" t="s">
        <v>83</v>
      </c>
    </row>
    <row r="555" spans="1:7" x14ac:dyDescent="0.3">
      <c r="A555" s="48">
        <v>45905</v>
      </c>
      <c r="B555" s="1">
        <v>2025</v>
      </c>
      <c r="C555" s="1">
        <v>9</v>
      </c>
      <c r="D555" s="1" t="s">
        <v>144</v>
      </c>
      <c r="E555" s="1">
        <v>3</v>
      </c>
      <c r="F555" s="1" t="s">
        <v>131</v>
      </c>
      <c r="G555" s="1" t="s">
        <v>83</v>
      </c>
    </row>
    <row r="556" spans="1:7" x14ac:dyDescent="0.3">
      <c r="A556" s="48">
        <v>45906</v>
      </c>
      <c r="B556" s="1">
        <v>2025</v>
      </c>
      <c r="C556" s="1">
        <v>9</v>
      </c>
      <c r="D556" s="1" t="s">
        <v>144</v>
      </c>
      <c r="E556" s="1">
        <v>3</v>
      </c>
      <c r="F556" s="1" t="s">
        <v>132</v>
      </c>
      <c r="G556" s="1" t="s">
        <v>133</v>
      </c>
    </row>
    <row r="557" spans="1:7" x14ac:dyDescent="0.3">
      <c r="A557" s="48">
        <v>45907</v>
      </c>
      <c r="B557" s="1">
        <v>2025</v>
      </c>
      <c r="C557" s="1">
        <v>9</v>
      </c>
      <c r="D557" s="1" t="s">
        <v>144</v>
      </c>
      <c r="E557" s="1">
        <v>3</v>
      </c>
      <c r="F557" s="1" t="s">
        <v>134</v>
      </c>
      <c r="G557" s="1" t="s">
        <v>133</v>
      </c>
    </row>
    <row r="558" spans="1:7" x14ac:dyDescent="0.3">
      <c r="A558" s="48">
        <v>45908</v>
      </c>
      <c r="B558" s="1">
        <v>2025</v>
      </c>
      <c r="C558" s="1">
        <v>9</v>
      </c>
      <c r="D558" s="1" t="s">
        <v>144</v>
      </c>
      <c r="E558" s="1">
        <v>3</v>
      </c>
      <c r="F558" s="1" t="s">
        <v>135</v>
      </c>
      <c r="G558" s="1" t="s">
        <v>83</v>
      </c>
    </row>
    <row r="559" spans="1:7" x14ac:dyDescent="0.3">
      <c r="A559" s="48">
        <v>45909</v>
      </c>
      <c r="B559" s="1">
        <v>2025</v>
      </c>
      <c r="C559" s="1">
        <v>9</v>
      </c>
      <c r="D559" s="1" t="s">
        <v>144</v>
      </c>
      <c r="E559" s="1">
        <v>3</v>
      </c>
      <c r="F559" s="1" t="s">
        <v>136</v>
      </c>
      <c r="G559" s="1" t="s">
        <v>83</v>
      </c>
    </row>
    <row r="560" spans="1:7" x14ac:dyDescent="0.3">
      <c r="A560" s="48">
        <v>45910</v>
      </c>
      <c r="B560" s="1">
        <v>2025</v>
      </c>
      <c r="C560" s="1">
        <v>9</v>
      </c>
      <c r="D560" s="1" t="s">
        <v>144</v>
      </c>
      <c r="E560" s="1">
        <v>3</v>
      </c>
      <c r="F560" s="1" t="s">
        <v>137</v>
      </c>
      <c r="G560" s="1" t="s">
        <v>83</v>
      </c>
    </row>
    <row r="561" spans="1:7" x14ac:dyDescent="0.3">
      <c r="A561" s="48">
        <v>45911</v>
      </c>
      <c r="B561" s="1">
        <v>2025</v>
      </c>
      <c r="C561" s="1">
        <v>9</v>
      </c>
      <c r="D561" s="1" t="s">
        <v>144</v>
      </c>
      <c r="E561" s="1">
        <v>3</v>
      </c>
      <c r="F561" s="1" t="s">
        <v>138</v>
      </c>
      <c r="G561" s="1" t="s">
        <v>83</v>
      </c>
    </row>
    <row r="562" spans="1:7" x14ac:dyDescent="0.3">
      <c r="A562" s="48">
        <v>45912</v>
      </c>
      <c r="B562" s="1">
        <v>2025</v>
      </c>
      <c r="C562" s="1">
        <v>9</v>
      </c>
      <c r="D562" s="1" t="s">
        <v>144</v>
      </c>
      <c r="E562" s="1">
        <v>3</v>
      </c>
      <c r="F562" s="1" t="s">
        <v>131</v>
      </c>
      <c r="G562" s="1" t="s">
        <v>83</v>
      </c>
    </row>
    <row r="563" spans="1:7" x14ac:dyDescent="0.3">
      <c r="A563" s="48">
        <v>45913</v>
      </c>
      <c r="B563" s="1">
        <v>2025</v>
      </c>
      <c r="C563" s="1">
        <v>9</v>
      </c>
      <c r="D563" s="1" t="s">
        <v>144</v>
      </c>
      <c r="E563" s="1">
        <v>3</v>
      </c>
      <c r="F563" s="1" t="s">
        <v>132</v>
      </c>
      <c r="G563" s="1" t="s">
        <v>133</v>
      </c>
    </row>
    <row r="564" spans="1:7" x14ac:dyDescent="0.3">
      <c r="A564" s="48">
        <v>45914</v>
      </c>
      <c r="B564" s="1">
        <v>2025</v>
      </c>
      <c r="C564" s="1">
        <v>9</v>
      </c>
      <c r="D564" s="1" t="s">
        <v>144</v>
      </c>
      <c r="E564" s="1">
        <v>3</v>
      </c>
      <c r="F564" s="1" t="s">
        <v>134</v>
      </c>
      <c r="G564" s="1" t="s">
        <v>133</v>
      </c>
    </row>
    <row r="565" spans="1:7" x14ac:dyDescent="0.3">
      <c r="A565" s="48">
        <v>45915</v>
      </c>
      <c r="B565" s="1">
        <v>2025</v>
      </c>
      <c r="C565" s="1">
        <v>9</v>
      </c>
      <c r="D565" s="1" t="s">
        <v>144</v>
      </c>
      <c r="E565" s="1">
        <v>3</v>
      </c>
      <c r="F565" s="1" t="s">
        <v>135</v>
      </c>
      <c r="G565" s="1" t="s">
        <v>83</v>
      </c>
    </row>
    <row r="566" spans="1:7" x14ac:dyDescent="0.3">
      <c r="A566" s="48">
        <v>45916</v>
      </c>
      <c r="B566" s="1">
        <v>2025</v>
      </c>
      <c r="C566" s="1">
        <v>9</v>
      </c>
      <c r="D566" s="1" t="s">
        <v>144</v>
      </c>
      <c r="E566" s="1">
        <v>3</v>
      </c>
      <c r="F566" s="1" t="s">
        <v>136</v>
      </c>
      <c r="G566" s="1" t="s">
        <v>83</v>
      </c>
    </row>
    <row r="567" spans="1:7" x14ac:dyDescent="0.3">
      <c r="A567" s="48">
        <v>45917</v>
      </c>
      <c r="B567" s="1">
        <v>2025</v>
      </c>
      <c r="C567" s="1">
        <v>9</v>
      </c>
      <c r="D567" s="1" t="s">
        <v>144</v>
      </c>
      <c r="E567" s="1">
        <v>3</v>
      </c>
      <c r="F567" s="1" t="s">
        <v>137</v>
      </c>
      <c r="G567" s="1" t="s">
        <v>83</v>
      </c>
    </row>
    <row r="568" spans="1:7" x14ac:dyDescent="0.3">
      <c r="A568" s="48">
        <v>45918</v>
      </c>
      <c r="B568" s="1">
        <v>2025</v>
      </c>
      <c r="C568" s="1">
        <v>9</v>
      </c>
      <c r="D568" s="1" t="s">
        <v>144</v>
      </c>
      <c r="E568" s="1">
        <v>3</v>
      </c>
      <c r="F568" s="1" t="s">
        <v>138</v>
      </c>
      <c r="G568" s="1" t="s">
        <v>83</v>
      </c>
    </row>
    <row r="569" spans="1:7" x14ac:dyDescent="0.3">
      <c r="A569" s="48">
        <v>45919</v>
      </c>
      <c r="B569" s="1">
        <v>2025</v>
      </c>
      <c r="C569" s="1">
        <v>9</v>
      </c>
      <c r="D569" s="1" t="s">
        <v>144</v>
      </c>
      <c r="E569" s="1">
        <v>3</v>
      </c>
      <c r="F569" s="1" t="s">
        <v>131</v>
      </c>
      <c r="G569" s="1" t="s">
        <v>83</v>
      </c>
    </row>
    <row r="570" spans="1:7" x14ac:dyDescent="0.3">
      <c r="A570" s="48">
        <v>45920</v>
      </c>
      <c r="B570" s="1">
        <v>2025</v>
      </c>
      <c r="C570" s="1">
        <v>9</v>
      </c>
      <c r="D570" s="1" t="s">
        <v>144</v>
      </c>
      <c r="E570" s="1">
        <v>3</v>
      </c>
      <c r="F570" s="1" t="s">
        <v>132</v>
      </c>
      <c r="G570" s="1" t="s">
        <v>133</v>
      </c>
    </row>
    <row r="571" spans="1:7" x14ac:dyDescent="0.3">
      <c r="A571" s="48">
        <v>45921</v>
      </c>
      <c r="B571" s="1">
        <v>2025</v>
      </c>
      <c r="C571" s="1">
        <v>9</v>
      </c>
      <c r="D571" s="1" t="s">
        <v>144</v>
      </c>
      <c r="E571" s="1">
        <v>3</v>
      </c>
      <c r="F571" s="1" t="s">
        <v>134</v>
      </c>
      <c r="G571" s="1" t="s">
        <v>133</v>
      </c>
    </row>
    <row r="572" spans="1:7" x14ac:dyDescent="0.3">
      <c r="A572" s="48">
        <v>45922</v>
      </c>
      <c r="B572" s="1">
        <v>2025</v>
      </c>
      <c r="C572" s="1">
        <v>9</v>
      </c>
      <c r="D572" s="1" t="s">
        <v>144</v>
      </c>
      <c r="E572" s="1">
        <v>3</v>
      </c>
      <c r="F572" s="1" t="s">
        <v>135</v>
      </c>
      <c r="G572" s="1" t="s">
        <v>83</v>
      </c>
    </row>
    <row r="573" spans="1:7" x14ac:dyDescent="0.3">
      <c r="A573" s="48">
        <v>45923</v>
      </c>
      <c r="B573" s="1">
        <v>2025</v>
      </c>
      <c r="C573" s="1">
        <v>9</v>
      </c>
      <c r="D573" s="1" t="s">
        <v>144</v>
      </c>
      <c r="E573" s="1">
        <v>3</v>
      </c>
      <c r="F573" s="1" t="s">
        <v>136</v>
      </c>
      <c r="G573" s="1" t="s">
        <v>83</v>
      </c>
    </row>
    <row r="574" spans="1:7" x14ac:dyDescent="0.3">
      <c r="A574" s="48">
        <v>45924</v>
      </c>
      <c r="B574" s="1">
        <v>2025</v>
      </c>
      <c r="C574" s="1">
        <v>9</v>
      </c>
      <c r="D574" s="1" t="s">
        <v>144</v>
      </c>
      <c r="E574" s="1">
        <v>3</v>
      </c>
      <c r="F574" s="1" t="s">
        <v>137</v>
      </c>
      <c r="G574" s="1" t="s">
        <v>83</v>
      </c>
    </row>
    <row r="575" spans="1:7" x14ac:dyDescent="0.3">
      <c r="A575" s="48">
        <v>45925</v>
      </c>
      <c r="B575" s="1">
        <v>2025</v>
      </c>
      <c r="C575" s="1">
        <v>9</v>
      </c>
      <c r="D575" s="1" t="s">
        <v>144</v>
      </c>
      <c r="E575" s="1">
        <v>3</v>
      </c>
      <c r="F575" s="1" t="s">
        <v>138</v>
      </c>
      <c r="G575" s="1" t="s">
        <v>83</v>
      </c>
    </row>
    <row r="576" spans="1:7" x14ac:dyDescent="0.3">
      <c r="A576" s="48">
        <v>45926</v>
      </c>
      <c r="B576" s="1">
        <v>2025</v>
      </c>
      <c r="C576" s="1">
        <v>9</v>
      </c>
      <c r="D576" s="1" t="s">
        <v>144</v>
      </c>
      <c r="E576" s="1">
        <v>3</v>
      </c>
      <c r="F576" s="1" t="s">
        <v>131</v>
      </c>
      <c r="G576" s="1" t="s">
        <v>83</v>
      </c>
    </row>
    <row r="577" spans="1:7" x14ac:dyDescent="0.3">
      <c r="A577" s="48">
        <v>45927</v>
      </c>
      <c r="B577" s="1">
        <v>2025</v>
      </c>
      <c r="C577" s="1">
        <v>9</v>
      </c>
      <c r="D577" s="1" t="s">
        <v>144</v>
      </c>
      <c r="E577" s="1">
        <v>3</v>
      </c>
      <c r="F577" s="1" t="s">
        <v>132</v>
      </c>
      <c r="G577" s="1" t="s">
        <v>133</v>
      </c>
    </row>
    <row r="578" spans="1:7" x14ac:dyDescent="0.3">
      <c r="A578" s="48">
        <v>45928</v>
      </c>
      <c r="B578" s="1">
        <v>2025</v>
      </c>
      <c r="C578" s="1">
        <v>9</v>
      </c>
      <c r="D578" s="1" t="s">
        <v>144</v>
      </c>
      <c r="E578" s="1">
        <v>3</v>
      </c>
      <c r="F578" s="1" t="s">
        <v>134</v>
      </c>
      <c r="G578" s="1" t="s">
        <v>133</v>
      </c>
    </row>
    <row r="579" spans="1:7" x14ac:dyDescent="0.3">
      <c r="A579" s="48">
        <v>45929</v>
      </c>
      <c r="B579" s="1">
        <v>2025</v>
      </c>
      <c r="C579" s="1">
        <v>9</v>
      </c>
      <c r="D579" s="1" t="s">
        <v>144</v>
      </c>
      <c r="E579" s="1">
        <v>3</v>
      </c>
      <c r="F579" s="1" t="s">
        <v>135</v>
      </c>
      <c r="G579" s="1" t="s">
        <v>83</v>
      </c>
    </row>
    <row r="580" spans="1:7" x14ac:dyDescent="0.3">
      <c r="A580" s="48">
        <v>45930</v>
      </c>
      <c r="B580" s="1">
        <v>2025</v>
      </c>
      <c r="C580" s="1">
        <v>9</v>
      </c>
      <c r="D580" s="1" t="s">
        <v>144</v>
      </c>
      <c r="E580" s="1">
        <v>3</v>
      </c>
      <c r="F580" s="1" t="s">
        <v>136</v>
      </c>
      <c r="G580" s="1" t="s">
        <v>83</v>
      </c>
    </row>
    <row r="581" spans="1:7" x14ac:dyDescent="0.3">
      <c r="A581" s="48">
        <v>45931</v>
      </c>
      <c r="B581" s="1">
        <v>2025</v>
      </c>
      <c r="C581" s="1">
        <v>10</v>
      </c>
      <c r="D581" s="1" t="s">
        <v>145</v>
      </c>
      <c r="E581" s="1">
        <v>4</v>
      </c>
      <c r="F581" s="1" t="s">
        <v>137</v>
      </c>
      <c r="G581" s="1" t="s">
        <v>83</v>
      </c>
    </row>
    <row r="582" spans="1:7" x14ac:dyDescent="0.3">
      <c r="A582" s="48">
        <v>45932</v>
      </c>
      <c r="B582" s="1">
        <v>2025</v>
      </c>
      <c r="C582" s="1">
        <v>10</v>
      </c>
      <c r="D582" s="1" t="s">
        <v>145</v>
      </c>
      <c r="E582" s="1">
        <v>4</v>
      </c>
      <c r="F582" s="1" t="s">
        <v>138</v>
      </c>
      <c r="G582" s="1" t="s">
        <v>83</v>
      </c>
    </row>
    <row r="583" spans="1:7" x14ac:dyDescent="0.3">
      <c r="A583" s="48">
        <v>45933</v>
      </c>
      <c r="B583" s="1">
        <v>2025</v>
      </c>
      <c r="C583" s="1">
        <v>10</v>
      </c>
      <c r="D583" s="1" t="s">
        <v>145</v>
      </c>
      <c r="E583" s="1">
        <v>4</v>
      </c>
      <c r="F583" s="1" t="s">
        <v>131</v>
      </c>
      <c r="G583" s="1" t="s">
        <v>83</v>
      </c>
    </row>
    <row r="584" spans="1:7" x14ac:dyDescent="0.3">
      <c r="A584" s="48">
        <v>45934</v>
      </c>
      <c r="B584" s="1">
        <v>2025</v>
      </c>
      <c r="C584" s="1">
        <v>10</v>
      </c>
      <c r="D584" s="1" t="s">
        <v>145</v>
      </c>
      <c r="E584" s="1">
        <v>4</v>
      </c>
      <c r="F584" s="1" t="s">
        <v>132</v>
      </c>
      <c r="G584" s="1" t="s">
        <v>133</v>
      </c>
    </row>
    <row r="585" spans="1:7" x14ac:dyDescent="0.3">
      <c r="A585" s="48">
        <v>45935</v>
      </c>
      <c r="B585" s="1">
        <v>2025</v>
      </c>
      <c r="C585" s="1">
        <v>10</v>
      </c>
      <c r="D585" s="1" t="s">
        <v>145</v>
      </c>
      <c r="E585" s="1">
        <v>4</v>
      </c>
      <c r="F585" s="1" t="s">
        <v>134</v>
      </c>
      <c r="G585" s="1" t="s">
        <v>133</v>
      </c>
    </row>
    <row r="586" spans="1:7" x14ac:dyDescent="0.3">
      <c r="A586" s="48">
        <v>45936</v>
      </c>
      <c r="B586" s="1">
        <v>2025</v>
      </c>
      <c r="C586" s="1">
        <v>10</v>
      </c>
      <c r="D586" s="1" t="s">
        <v>145</v>
      </c>
      <c r="E586" s="1">
        <v>4</v>
      </c>
      <c r="F586" s="1" t="s">
        <v>135</v>
      </c>
      <c r="G586" s="1" t="s">
        <v>83</v>
      </c>
    </row>
    <row r="587" spans="1:7" x14ac:dyDescent="0.3">
      <c r="A587" s="48">
        <v>45937</v>
      </c>
      <c r="B587" s="1">
        <v>2025</v>
      </c>
      <c r="C587" s="1">
        <v>10</v>
      </c>
      <c r="D587" s="1" t="s">
        <v>145</v>
      </c>
      <c r="E587" s="1">
        <v>4</v>
      </c>
      <c r="F587" s="1" t="s">
        <v>136</v>
      </c>
      <c r="G587" s="1" t="s">
        <v>83</v>
      </c>
    </row>
    <row r="588" spans="1:7" x14ac:dyDescent="0.3">
      <c r="A588" s="48">
        <v>45938</v>
      </c>
      <c r="B588" s="1">
        <v>2025</v>
      </c>
      <c r="C588" s="1">
        <v>10</v>
      </c>
      <c r="D588" s="1" t="s">
        <v>145</v>
      </c>
      <c r="E588" s="1">
        <v>4</v>
      </c>
      <c r="F588" s="1" t="s">
        <v>137</v>
      </c>
      <c r="G588" s="1" t="s">
        <v>83</v>
      </c>
    </row>
    <row r="589" spans="1:7" x14ac:dyDescent="0.3">
      <c r="A589" s="48">
        <v>45939</v>
      </c>
      <c r="B589" s="1">
        <v>2025</v>
      </c>
      <c r="C589" s="1">
        <v>10</v>
      </c>
      <c r="D589" s="1" t="s">
        <v>145</v>
      </c>
      <c r="E589" s="1">
        <v>4</v>
      </c>
      <c r="F589" s="1" t="s">
        <v>138</v>
      </c>
      <c r="G589" s="1" t="s">
        <v>83</v>
      </c>
    </row>
    <row r="590" spans="1:7" x14ac:dyDescent="0.3">
      <c r="A590" s="48">
        <v>45940</v>
      </c>
      <c r="B590" s="1">
        <v>2025</v>
      </c>
      <c r="C590" s="1">
        <v>10</v>
      </c>
      <c r="D590" s="1" t="s">
        <v>145</v>
      </c>
      <c r="E590" s="1">
        <v>4</v>
      </c>
      <c r="F590" s="1" t="s">
        <v>131</v>
      </c>
      <c r="G590" s="1" t="s">
        <v>83</v>
      </c>
    </row>
    <row r="591" spans="1:7" x14ac:dyDescent="0.3">
      <c r="A591" s="48">
        <v>45941</v>
      </c>
      <c r="B591" s="1">
        <v>2025</v>
      </c>
      <c r="C591" s="1">
        <v>10</v>
      </c>
      <c r="D591" s="1" t="s">
        <v>145</v>
      </c>
      <c r="E591" s="1">
        <v>4</v>
      </c>
      <c r="F591" s="1" t="s">
        <v>132</v>
      </c>
      <c r="G591" s="1" t="s">
        <v>133</v>
      </c>
    </row>
    <row r="592" spans="1:7" x14ac:dyDescent="0.3">
      <c r="A592" s="48">
        <v>45942</v>
      </c>
      <c r="B592" s="1">
        <v>2025</v>
      </c>
      <c r="C592" s="1">
        <v>10</v>
      </c>
      <c r="D592" s="1" t="s">
        <v>145</v>
      </c>
      <c r="E592" s="1">
        <v>4</v>
      </c>
      <c r="F592" s="1" t="s">
        <v>134</v>
      </c>
      <c r="G592" s="1" t="s">
        <v>133</v>
      </c>
    </row>
    <row r="593" spans="1:7" x14ac:dyDescent="0.3">
      <c r="A593" s="48">
        <v>45943</v>
      </c>
      <c r="B593" s="1">
        <v>2025</v>
      </c>
      <c r="C593" s="1">
        <v>10</v>
      </c>
      <c r="D593" s="1" t="s">
        <v>145</v>
      </c>
      <c r="E593" s="1">
        <v>4</v>
      </c>
      <c r="F593" s="1" t="s">
        <v>135</v>
      </c>
      <c r="G593" s="1" t="s">
        <v>83</v>
      </c>
    </row>
    <row r="594" spans="1:7" x14ac:dyDescent="0.3">
      <c r="A594" s="48">
        <v>45944</v>
      </c>
      <c r="B594" s="1">
        <v>2025</v>
      </c>
      <c r="C594" s="1">
        <v>10</v>
      </c>
      <c r="D594" s="1" t="s">
        <v>145</v>
      </c>
      <c r="E594" s="1">
        <v>4</v>
      </c>
      <c r="F594" s="1" t="s">
        <v>136</v>
      </c>
      <c r="G594" s="1" t="s">
        <v>83</v>
      </c>
    </row>
    <row r="595" spans="1:7" x14ac:dyDescent="0.3">
      <c r="A595" s="48">
        <v>45945</v>
      </c>
      <c r="B595" s="1">
        <v>2025</v>
      </c>
      <c r="C595" s="1">
        <v>10</v>
      </c>
      <c r="D595" s="1" t="s">
        <v>145</v>
      </c>
      <c r="E595" s="1">
        <v>4</v>
      </c>
      <c r="F595" s="1" t="s">
        <v>137</v>
      </c>
      <c r="G595" s="1" t="s">
        <v>83</v>
      </c>
    </row>
    <row r="596" spans="1:7" x14ac:dyDescent="0.3">
      <c r="A596" s="48">
        <v>45946</v>
      </c>
      <c r="B596" s="1">
        <v>2025</v>
      </c>
      <c r="C596" s="1">
        <v>10</v>
      </c>
      <c r="D596" s="1" t="s">
        <v>145</v>
      </c>
      <c r="E596" s="1">
        <v>4</v>
      </c>
      <c r="F596" s="1" t="s">
        <v>138</v>
      </c>
      <c r="G596" s="1" t="s">
        <v>83</v>
      </c>
    </row>
    <row r="597" spans="1:7" x14ac:dyDescent="0.3">
      <c r="A597" s="48">
        <v>45947</v>
      </c>
      <c r="B597" s="1">
        <v>2025</v>
      </c>
      <c r="C597" s="1">
        <v>10</v>
      </c>
      <c r="D597" s="1" t="s">
        <v>145</v>
      </c>
      <c r="E597" s="1">
        <v>4</v>
      </c>
      <c r="F597" s="1" t="s">
        <v>131</v>
      </c>
      <c r="G597" s="1" t="s">
        <v>83</v>
      </c>
    </row>
    <row r="598" spans="1:7" x14ac:dyDescent="0.3">
      <c r="A598" s="48">
        <v>45948</v>
      </c>
      <c r="B598" s="1">
        <v>2025</v>
      </c>
      <c r="C598" s="1">
        <v>10</v>
      </c>
      <c r="D598" s="1" t="s">
        <v>145</v>
      </c>
      <c r="E598" s="1">
        <v>4</v>
      </c>
      <c r="F598" s="1" t="s">
        <v>132</v>
      </c>
      <c r="G598" s="1" t="s">
        <v>133</v>
      </c>
    </row>
    <row r="599" spans="1:7" x14ac:dyDescent="0.3">
      <c r="A599" s="48">
        <v>45949</v>
      </c>
      <c r="B599" s="1">
        <v>2025</v>
      </c>
      <c r="C599" s="1">
        <v>10</v>
      </c>
      <c r="D599" s="1" t="s">
        <v>145</v>
      </c>
      <c r="E599" s="1">
        <v>4</v>
      </c>
      <c r="F599" s="1" t="s">
        <v>134</v>
      </c>
      <c r="G599" s="1" t="s">
        <v>133</v>
      </c>
    </row>
    <row r="600" spans="1:7" x14ac:dyDescent="0.3">
      <c r="A600" s="48">
        <v>45950</v>
      </c>
      <c r="B600" s="1">
        <v>2025</v>
      </c>
      <c r="C600" s="1">
        <v>10</v>
      </c>
      <c r="D600" s="1" t="s">
        <v>145</v>
      </c>
      <c r="E600" s="1">
        <v>4</v>
      </c>
      <c r="F600" s="1" t="s">
        <v>135</v>
      </c>
      <c r="G600" s="1" t="s">
        <v>83</v>
      </c>
    </row>
    <row r="601" spans="1:7" x14ac:dyDescent="0.3">
      <c r="A601" s="48">
        <v>45951</v>
      </c>
      <c r="B601" s="1">
        <v>2025</v>
      </c>
      <c r="C601" s="1">
        <v>10</v>
      </c>
      <c r="D601" s="1" t="s">
        <v>145</v>
      </c>
      <c r="E601" s="1">
        <v>4</v>
      </c>
      <c r="F601" s="1" t="s">
        <v>136</v>
      </c>
      <c r="G601" s="1" t="s">
        <v>83</v>
      </c>
    </row>
    <row r="602" spans="1:7" x14ac:dyDescent="0.3">
      <c r="A602" s="48">
        <v>45952</v>
      </c>
      <c r="B602" s="1">
        <v>2025</v>
      </c>
      <c r="C602" s="1">
        <v>10</v>
      </c>
      <c r="D602" s="1" t="s">
        <v>145</v>
      </c>
      <c r="E602" s="1">
        <v>4</v>
      </c>
      <c r="F602" s="1" t="s">
        <v>137</v>
      </c>
      <c r="G602" s="1" t="s">
        <v>83</v>
      </c>
    </row>
    <row r="603" spans="1:7" x14ac:dyDescent="0.3">
      <c r="A603" s="48">
        <v>45953</v>
      </c>
      <c r="B603" s="1">
        <v>2025</v>
      </c>
      <c r="C603" s="1">
        <v>10</v>
      </c>
      <c r="D603" s="1" t="s">
        <v>145</v>
      </c>
      <c r="E603" s="1">
        <v>4</v>
      </c>
      <c r="F603" s="1" t="s">
        <v>138</v>
      </c>
      <c r="G603" s="1" t="s">
        <v>83</v>
      </c>
    </row>
    <row r="604" spans="1:7" x14ac:dyDescent="0.3">
      <c r="A604" s="48">
        <v>45954</v>
      </c>
      <c r="B604" s="1">
        <v>2025</v>
      </c>
      <c r="C604" s="1">
        <v>10</v>
      </c>
      <c r="D604" s="1" t="s">
        <v>145</v>
      </c>
      <c r="E604" s="1">
        <v>4</v>
      </c>
      <c r="F604" s="1" t="s">
        <v>131</v>
      </c>
      <c r="G604" s="1" t="s">
        <v>83</v>
      </c>
    </row>
    <row r="605" spans="1:7" x14ac:dyDescent="0.3">
      <c r="A605" s="48">
        <v>45955</v>
      </c>
      <c r="B605" s="1">
        <v>2025</v>
      </c>
      <c r="C605" s="1">
        <v>10</v>
      </c>
      <c r="D605" s="1" t="s">
        <v>145</v>
      </c>
      <c r="E605" s="1">
        <v>4</v>
      </c>
      <c r="F605" s="1" t="s">
        <v>132</v>
      </c>
      <c r="G605" s="1" t="s">
        <v>133</v>
      </c>
    </row>
    <row r="606" spans="1:7" x14ac:dyDescent="0.3">
      <c r="A606" s="48">
        <v>45956</v>
      </c>
      <c r="B606" s="1">
        <v>2025</v>
      </c>
      <c r="C606" s="1">
        <v>10</v>
      </c>
      <c r="D606" s="1" t="s">
        <v>145</v>
      </c>
      <c r="E606" s="1">
        <v>4</v>
      </c>
      <c r="F606" s="1" t="s">
        <v>134</v>
      </c>
      <c r="G606" s="1" t="s">
        <v>133</v>
      </c>
    </row>
    <row r="607" spans="1:7" x14ac:dyDescent="0.3">
      <c r="A607" s="48">
        <v>45957</v>
      </c>
      <c r="B607" s="1">
        <v>2025</v>
      </c>
      <c r="C607" s="1">
        <v>10</v>
      </c>
      <c r="D607" s="1" t="s">
        <v>145</v>
      </c>
      <c r="E607" s="1">
        <v>4</v>
      </c>
      <c r="F607" s="1" t="s">
        <v>135</v>
      </c>
      <c r="G607" s="1" t="s">
        <v>83</v>
      </c>
    </row>
    <row r="608" spans="1:7" x14ac:dyDescent="0.3">
      <c r="A608" s="48">
        <v>45958</v>
      </c>
      <c r="B608" s="1">
        <v>2025</v>
      </c>
      <c r="C608" s="1">
        <v>10</v>
      </c>
      <c r="D608" s="1" t="s">
        <v>145</v>
      </c>
      <c r="E608" s="1">
        <v>4</v>
      </c>
      <c r="F608" s="1" t="s">
        <v>136</v>
      </c>
      <c r="G608" s="1" t="s">
        <v>83</v>
      </c>
    </row>
    <row r="609" spans="1:7" x14ac:dyDescent="0.3">
      <c r="A609" s="48">
        <v>45959</v>
      </c>
      <c r="B609" s="1">
        <v>2025</v>
      </c>
      <c r="C609" s="1">
        <v>10</v>
      </c>
      <c r="D609" s="1" t="s">
        <v>145</v>
      </c>
      <c r="E609" s="1">
        <v>4</v>
      </c>
      <c r="F609" s="1" t="s">
        <v>137</v>
      </c>
      <c r="G609" s="1" t="s">
        <v>83</v>
      </c>
    </row>
    <row r="610" spans="1:7" x14ac:dyDescent="0.3">
      <c r="A610" s="48">
        <v>45960</v>
      </c>
      <c r="B610" s="1">
        <v>2025</v>
      </c>
      <c r="C610" s="1">
        <v>10</v>
      </c>
      <c r="D610" s="1" t="s">
        <v>145</v>
      </c>
      <c r="E610" s="1">
        <v>4</v>
      </c>
      <c r="F610" s="1" t="s">
        <v>138</v>
      </c>
      <c r="G610" s="1" t="s">
        <v>83</v>
      </c>
    </row>
    <row r="611" spans="1:7" x14ac:dyDescent="0.3">
      <c r="A611" s="48">
        <v>45961</v>
      </c>
      <c r="B611" s="1">
        <v>2025</v>
      </c>
      <c r="C611" s="1">
        <v>10</v>
      </c>
      <c r="D611" s="1" t="s">
        <v>145</v>
      </c>
      <c r="E611" s="1">
        <v>4</v>
      </c>
      <c r="F611" s="1" t="s">
        <v>131</v>
      </c>
      <c r="G611" s="1" t="s">
        <v>83</v>
      </c>
    </row>
    <row r="612" spans="1:7" x14ac:dyDescent="0.3">
      <c r="A612" s="48">
        <v>45962</v>
      </c>
      <c r="B612" s="1">
        <v>2025</v>
      </c>
      <c r="C612" s="1">
        <v>11</v>
      </c>
      <c r="D612" s="1" t="s">
        <v>146</v>
      </c>
      <c r="E612" s="1">
        <v>4</v>
      </c>
      <c r="F612" s="1" t="s">
        <v>132</v>
      </c>
      <c r="G612" s="1" t="s">
        <v>133</v>
      </c>
    </row>
    <row r="613" spans="1:7" x14ac:dyDescent="0.3">
      <c r="A613" s="48">
        <v>45963</v>
      </c>
      <c r="B613" s="1">
        <v>2025</v>
      </c>
      <c r="C613" s="1">
        <v>11</v>
      </c>
      <c r="D613" s="1" t="s">
        <v>146</v>
      </c>
      <c r="E613" s="1">
        <v>4</v>
      </c>
      <c r="F613" s="1" t="s">
        <v>134</v>
      </c>
      <c r="G613" s="1" t="s">
        <v>133</v>
      </c>
    </row>
    <row r="614" spans="1:7" x14ac:dyDescent="0.3">
      <c r="A614" s="48">
        <v>45964</v>
      </c>
      <c r="B614" s="1">
        <v>2025</v>
      </c>
      <c r="C614" s="1">
        <v>11</v>
      </c>
      <c r="D614" s="1" t="s">
        <v>146</v>
      </c>
      <c r="E614" s="1">
        <v>4</v>
      </c>
      <c r="F614" s="1" t="s">
        <v>135</v>
      </c>
      <c r="G614" s="1" t="s">
        <v>83</v>
      </c>
    </row>
    <row r="615" spans="1:7" x14ac:dyDescent="0.3">
      <c r="A615" s="48">
        <v>45965</v>
      </c>
      <c r="B615" s="1">
        <v>2025</v>
      </c>
      <c r="C615" s="1">
        <v>11</v>
      </c>
      <c r="D615" s="1" t="s">
        <v>146</v>
      </c>
      <c r="E615" s="1">
        <v>4</v>
      </c>
      <c r="F615" s="1" t="s">
        <v>136</v>
      </c>
      <c r="G615" s="1" t="s">
        <v>83</v>
      </c>
    </row>
    <row r="616" spans="1:7" x14ac:dyDescent="0.3">
      <c r="A616" s="48">
        <v>45966</v>
      </c>
      <c r="B616" s="1">
        <v>2025</v>
      </c>
      <c r="C616" s="1">
        <v>11</v>
      </c>
      <c r="D616" s="1" t="s">
        <v>146</v>
      </c>
      <c r="E616" s="1">
        <v>4</v>
      </c>
      <c r="F616" s="1" t="s">
        <v>137</v>
      </c>
      <c r="G616" s="1" t="s">
        <v>83</v>
      </c>
    </row>
    <row r="617" spans="1:7" x14ac:dyDescent="0.3">
      <c r="A617" s="48">
        <v>45967</v>
      </c>
      <c r="B617" s="1">
        <v>2025</v>
      </c>
      <c r="C617" s="1">
        <v>11</v>
      </c>
      <c r="D617" s="1" t="s">
        <v>146</v>
      </c>
      <c r="E617" s="1">
        <v>4</v>
      </c>
      <c r="F617" s="1" t="s">
        <v>138</v>
      </c>
      <c r="G617" s="1" t="s">
        <v>83</v>
      </c>
    </row>
    <row r="618" spans="1:7" x14ac:dyDescent="0.3">
      <c r="A618" s="48">
        <v>45968</v>
      </c>
      <c r="B618" s="1">
        <v>2025</v>
      </c>
      <c r="C618" s="1">
        <v>11</v>
      </c>
      <c r="D618" s="1" t="s">
        <v>146</v>
      </c>
      <c r="E618" s="1">
        <v>4</v>
      </c>
      <c r="F618" s="1" t="s">
        <v>131</v>
      </c>
      <c r="G618" s="1" t="s">
        <v>83</v>
      </c>
    </row>
    <row r="619" spans="1:7" x14ac:dyDescent="0.3">
      <c r="A619" s="48">
        <v>45969</v>
      </c>
      <c r="B619" s="1">
        <v>2025</v>
      </c>
      <c r="C619" s="1">
        <v>11</v>
      </c>
      <c r="D619" s="1" t="s">
        <v>146</v>
      </c>
      <c r="E619" s="1">
        <v>4</v>
      </c>
      <c r="F619" s="1" t="s">
        <v>132</v>
      </c>
      <c r="G619" s="1" t="s">
        <v>133</v>
      </c>
    </row>
    <row r="620" spans="1:7" x14ac:dyDescent="0.3">
      <c r="A620" s="48">
        <v>45970</v>
      </c>
      <c r="B620" s="1">
        <v>2025</v>
      </c>
      <c r="C620" s="1">
        <v>11</v>
      </c>
      <c r="D620" s="1" t="s">
        <v>146</v>
      </c>
      <c r="E620" s="1">
        <v>4</v>
      </c>
      <c r="F620" s="1" t="s">
        <v>134</v>
      </c>
      <c r="G620" s="1" t="s">
        <v>133</v>
      </c>
    </row>
    <row r="621" spans="1:7" x14ac:dyDescent="0.3">
      <c r="A621" s="48">
        <v>45971</v>
      </c>
      <c r="B621" s="1">
        <v>2025</v>
      </c>
      <c r="C621" s="1">
        <v>11</v>
      </c>
      <c r="D621" s="1" t="s">
        <v>146</v>
      </c>
      <c r="E621" s="1">
        <v>4</v>
      </c>
      <c r="F621" s="1" t="s">
        <v>135</v>
      </c>
      <c r="G621" s="1" t="s">
        <v>83</v>
      </c>
    </row>
    <row r="622" spans="1:7" x14ac:dyDescent="0.3">
      <c r="A622" s="48">
        <v>45972</v>
      </c>
      <c r="B622" s="1">
        <v>2025</v>
      </c>
      <c r="C622" s="1">
        <v>11</v>
      </c>
      <c r="D622" s="1" t="s">
        <v>146</v>
      </c>
      <c r="E622" s="1">
        <v>4</v>
      </c>
      <c r="F622" s="1" t="s">
        <v>136</v>
      </c>
      <c r="G622" s="1" t="s">
        <v>83</v>
      </c>
    </row>
    <row r="623" spans="1:7" x14ac:dyDescent="0.3">
      <c r="A623" s="48">
        <v>45973</v>
      </c>
      <c r="B623" s="1">
        <v>2025</v>
      </c>
      <c r="C623" s="1">
        <v>11</v>
      </c>
      <c r="D623" s="1" t="s">
        <v>146</v>
      </c>
      <c r="E623" s="1">
        <v>4</v>
      </c>
      <c r="F623" s="1" t="s">
        <v>137</v>
      </c>
      <c r="G623" s="1" t="s">
        <v>83</v>
      </c>
    </row>
    <row r="624" spans="1:7" x14ac:dyDescent="0.3">
      <c r="A624" s="48">
        <v>45974</v>
      </c>
      <c r="B624" s="1">
        <v>2025</v>
      </c>
      <c r="C624" s="1">
        <v>11</v>
      </c>
      <c r="D624" s="1" t="s">
        <v>146</v>
      </c>
      <c r="E624" s="1">
        <v>4</v>
      </c>
      <c r="F624" s="1" t="s">
        <v>138</v>
      </c>
      <c r="G624" s="1" t="s">
        <v>83</v>
      </c>
    </row>
    <row r="625" spans="1:7" x14ac:dyDescent="0.3">
      <c r="A625" s="48">
        <v>45975</v>
      </c>
      <c r="B625" s="1">
        <v>2025</v>
      </c>
      <c r="C625" s="1">
        <v>11</v>
      </c>
      <c r="D625" s="1" t="s">
        <v>146</v>
      </c>
      <c r="E625" s="1">
        <v>4</v>
      </c>
      <c r="F625" s="1" t="s">
        <v>131</v>
      </c>
      <c r="G625" s="1" t="s">
        <v>83</v>
      </c>
    </row>
    <row r="626" spans="1:7" x14ac:dyDescent="0.3">
      <c r="A626" s="48">
        <v>45976</v>
      </c>
      <c r="B626" s="1">
        <v>2025</v>
      </c>
      <c r="C626" s="1">
        <v>11</v>
      </c>
      <c r="D626" s="1" t="s">
        <v>146</v>
      </c>
      <c r="E626" s="1">
        <v>4</v>
      </c>
      <c r="F626" s="1" t="s">
        <v>132</v>
      </c>
      <c r="G626" s="1" t="s">
        <v>133</v>
      </c>
    </row>
    <row r="627" spans="1:7" x14ac:dyDescent="0.3">
      <c r="A627" s="48">
        <v>45977</v>
      </c>
      <c r="B627" s="1">
        <v>2025</v>
      </c>
      <c r="C627" s="1">
        <v>11</v>
      </c>
      <c r="D627" s="1" t="s">
        <v>146</v>
      </c>
      <c r="E627" s="1">
        <v>4</v>
      </c>
      <c r="F627" s="1" t="s">
        <v>134</v>
      </c>
      <c r="G627" s="1" t="s">
        <v>133</v>
      </c>
    </row>
    <row r="628" spans="1:7" x14ac:dyDescent="0.3">
      <c r="A628" s="48">
        <v>45978</v>
      </c>
      <c r="B628" s="1">
        <v>2025</v>
      </c>
      <c r="C628" s="1">
        <v>11</v>
      </c>
      <c r="D628" s="1" t="s">
        <v>146</v>
      </c>
      <c r="E628" s="1">
        <v>4</v>
      </c>
      <c r="F628" s="1" t="s">
        <v>135</v>
      </c>
      <c r="G628" s="1" t="s">
        <v>83</v>
      </c>
    </row>
    <row r="629" spans="1:7" x14ac:dyDescent="0.3">
      <c r="A629" s="48">
        <v>45979</v>
      </c>
      <c r="B629" s="1">
        <v>2025</v>
      </c>
      <c r="C629" s="1">
        <v>11</v>
      </c>
      <c r="D629" s="1" t="s">
        <v>146</v>
      </c>
      <c r="E629" s="1">
        <v>4</v>
      </c>
      <c r="F629" s="1" t="s">
        <v>136</v>
      </c>
      <c r="G629" s="1" t="s">
        <v>83</v>
      </c>
    </row>
    <row r="630" spans="1:7" x14ac:dyDescent="0.3">
      <c r="A630" s="48">
        <v>45980</v>
      </c>
      <c r="B630" s="1">
        <v>2025</v>
      </c>
      <c r="C630" s="1">
        <v>11</v>
      </c>
      <c r="D630" s="1" t="s">
        <v>146</v>
      </c>
      <c r="E630" s="1">
        <v>4</v>
      </c>
      <c r="F630" s="1" t="s">
        <v>137</v>
      </c>
      <c r="G630" s="1" t="s">
        <v>83</v>
      </c>
    </row>
    <row r="631" spans="1:7" x14ac:dyDescent="0.3">
      <c r="A631" s="48">
        <v>45981</v>
      </c>
      <c r="B631" s="1">
        <v>2025</v>
      </c>
      <c r="C631" s="1">
        <v>11</v>
      </c>
      <c r="D631" s="1" t="s">
        <v>146</v>
      </c>
      <c r="E631" s="1">
        <v>4</v>
      </c>
      <c r="F631" s="1" t="s">
        <v>138</v>
      </c>
      <c r="G631" s="1" t="s">
        <v>83</v>
      </c>
    </row>
    <row r="632" spans="1:7" x14ac:dyDescent="0.3">
      <c r="A632" s="48">
        <v>45982</v>
      </c>
      <c r="B632" s="1">
        <v>2025</v>
      </c>
      <c r="C632" s="1">
        <v>11</v>
      </c>
      <c r="D632" s="1" t="s">
        <v>146</v>
      </c>
      <c r="E632" s="1">
        <v>4</v>
      </c>
      <c r="F632" s="1" t="s">
        <v>131</v>
      </c>
      <c r="G632" s="1" t="s">
        <v>83</v>
      </c>
    </row>
    <row r="633" spans="1:7" x14ac:dyDescent="0.3">
      <c r="A633" s="48">
        <v>45983</v>
      </c>
      <c r="B633" s="1">
        <v>2025</v>
      </c>
      <c r="C633" s="1">
        <v>11</v>
      </c>
      <c r="D633" s="1" t="s">
        <v>146</v>
      </c>
      <c r="E633" s="1">
        <v>4</v>
      </c>
      <c r="F633" s="1" t="s">
        <v>132</v>
      </c>
      <c r="G633" s="1" t="s">
        <v>133</v>
      </c>
    </row>
    <row r="634" spans="1:7" x14ac:dyDescent="0.3">
      <c r="A634" s="48">
        <v>45984</v>
      </c>
      <c r="B634" s="1">
        <v>2025</v>
      </c>
      <c r="C634" s="1">
        <v>11</v>
      </c>
      <c r="D634" s="1" t="s">
        <v>146</v>
      </c>
      <c r="E634" s="1">
        <v>4</v>
      </c>
      <c r="F634" s="1" t="s">
        <v>134</v>
      </c>
      <c r="G634" s="1" t="s">
        <v>133</v>
      </c>
    </row>
    <row r="635" spans="1:7" x14ac:dyDescent="0.3">
      <c r="A635" s="48">
        <v>45985</v>
      </c>
      <c r="B635" s="1">
        <v>2025</v>
      </c>
      <c r="C635" s="1">
        <v>11</v>
      </c>
      <c r="D635" s="1" t="s">
        <v>146</v>
      </c>
      <c r="E635" s="1">
        <v>4</v>
      </c>
      <c r="F635" s="1" t="s">
        <v>135</v>
      </c>
      <c r="G635" s="1" t="s">
        <v>83</v>
      </c>
    </row>
    <row r="636" spans="1:7" x14ac:dyDescent="0.3">
      <c r="A636" s="48">
        <v>45986</v>
      </c>
      <c r="B636" s="1">
        <v>2025</v>
      </c>
      <c r="C636" s="1">
        <v>11</v>
      </c>
      <c r="D636" s="1" t="s">
        <v>146</v>
      </c>
      <c r="E636" s="1">
        <v>4</v>
      </c>
      <c r="F636" s="1" t="s">
        <v>136</v>
      </c>
      <c r="G636" s="1" t="s">
        <v>83</v>
      </c>
    </row>
    <row r="637" spans="1:7" x14ac:dyDescent="0.3">
      <c r="A637" s="48">
        <v>45987</v>
      </c>
      <c r="B637" s="1">
        <v>2025</v>
      </c>
      <c r="C637" s="1">
        <v>11</v>
      </c>
      <c r="D637" s="1" t="s">
        <v>146</v>
      </c>
      <c r="E637" s="1">
        <v>4</v>
      </c>
      <c r="F637" s="1" t="s">
        <v>137</v>
      </c>
      <c r="G637" s="1" t="s">
        <v>83</v>
      </c>
    </row>
    <row r="638" spans="1:7" x14ac:dyDescent="0.3">
      <c r="A638" s="48">
        <v>45988</v>
      </c>
      <c r="B638" s="1">
        <v>2025</v>
      </c>
      <c r="C638" s="1">
        <v>11</v>
      </c>
      <c r="D638" s="1" t="s">
        <v>146</v>
      </c>
      <c r="E638" s="1">
        <v>4</v>
      </c>
      <c r="F638" s="1" t="s">
        <v>138</v>
      </c>
      <c r="G638" s="1" t="s">
        <v>83</v>
      </c>
    </row>
    <row r="639" spans="1:7" x14ac:dyDescent="0.3">
      <c r="A639" s="48">
        <v>45989</v>
      </c>
      <c r="B639" s="1">
        <v>2025</v>
      </c>
      <c r="C639" s="1">
        <v>11</v>
      </c>
      <c r="D639" s="1" t="s">
        <v>146</v>
      </c>
      <c r="E639" s="1">
        <v>4</v>
      </c>
      <c r="F639" s="1" t="s">
        <v>131</v>
      </c>
      <c r="G639" s="1" t="s">
        <v>83</v>
      </c>
    </row>
    <row r="640" spans="1:7" x14ac:dyDescent="0.3">
      <c r="A640" s="48">
        <v>45990</v>
      </c>
      <c r="B640" s="1">
        <v>2025</v>
      </c>
      <c r="C640" s="1">
        <v>11</v>
      </c>
      <c r="D640" s="1" t="s">
        <v>146</v>
      </c>
      <c r="E640" s="1">
        <v>4</v>
      </c>
      <c r="F640" s="1" t="s">
        <v>132</v>
      </c>
      <c r="G640" s="1" t="s">
        <v>133</v>
      </c>
    </row>
    <row r="641" spans="1:7" x14ac:dyDescent="0.3">
      <c r="A641" s="48">
        <v>45991</v>
      </c>
      <c r="B641" s="1">
        <v>2025</v>
      </c>
      <c r="C641" s="1">
        <v>11</v>
      </c>
      <c r="D641" s="1" t="s">
        <v>146</v>
      </c>
      <c r="E641" s="1">
        <v>4</v>
      </c>
      <c r="F641" s="1" t="s">
        <v>134</v>
      </c>
      <c r="G641" s="1" t="s">
        <v>133</v>
      </c>
    </row>
    <row r="642" spans="1:7" x14ac:dyDescent="0.3">
      <c r="A642" s="48">
        <v>45992</v>
      </c>
      <c r="B642" s="1">
        <v>2025</v>
      </c>
      <c r="C642" s="1">
        <v>12</v>
      </c>
      <c r="D642" s="1" t="s">
        <v>82</v>
      </c>
      <c r="E642" s="1">
        <v>4</v>
      </c>
      <c r="F642" s="1" t="s">
        <v>135</v>
      </c>
      <c r="G642" s="1" t="s">
        <v>83</v>
      </c>
    </row>
    <row r="643" spans="1:7" x14ac:dyDescent="0.3">
      <c r="A643" s="48">
        <v>45993</v>
      </c>
      <c r="B643" s="1">
        <v>2025</v>
      </c>
      <c r="C643" s="1">
        <v>12</v>
      </c>
      <c r="D643" s="1" t="s">
        <v>82</v>
      </c>
      <c r="E643" s="1">
        <v>4</v>
      </c>
      <c r="F643" s="1" t="s">
        <v>136</v>
      </c>
      <c r="G643" s="1" t="s">
        <v>83</v>
      </c>
    </row>
    <row r="644" spans="1:7" x14ac:dyDescent="0.3">
      <c r="A644" s="48">
        <v>45994</v>
      </c>
      <c r="B644" s="1">
        <v>2025</v>
      </c>
      <c r="C644" s="1">
        <v>12</v>
      </c>
      <c r="D644" s="1" t="s">
        <v>82</v>
      </c>
      <c r="E644" s="1">
        <v>4</v>
      </c>
      <c r="F644" s="1" t="s">
        <v>137</v>
      </c>
      <c r="G644" s="1" t="s">
        <v>83</v>
      </c>
    </row>
    <row r="645" spans="1:7" x14ac:dyDescent="0.3">
      <c r="A645" s="48">
        <v>45995</v>
      </c>
      <c r="B645" s="1">
        <v>2025</v>
      </c>
      <c r="C645" s="1">
        <v>12</v>
      </c>
      <c r="D645" s="1" t="s">
        <v>82</v>
      </c>
      <c r="E645" s="1">
        <v>4</v>
      </c>
      <c r="F645" s="1" t="s">
        <v>138</v>
      </c>
      <c r="G645" s="1" t="s">
        <v>83</v>
      </c>
    </row>
    <row r="646" spans="1:7" x14ac:dyDescent="0.3">
      <c r="A646" s="48">
        <v>45996</v>
      </c>
      <c r="B646" s="1">
        <v>2025</v>
      </c>
      <c r="C646" s="1">
        <v>12</v>
      </c>
      <c r="D646" s="1" t="s">
        <v>82</v>
      </c>
      <c r="E646" s="1">
        <v>4</v>
      </c>
      <c r="F646" s="1" t="s">
        <v>131</v>
      </c>
      <c r="G646" s="1" t="s">
        <v>83</v>
      </c>
    </row>
    <row r="647" spans="1:7" x14ac:dyDescent="0.3">
      <c r="A647" s="48">
        <v>45997</v>
      </c>
      <c r="B647" s="1">
        <v>2025</v>
      </c>
      <c r="C647" s="1">
        <v>12</v>
      </c>
      <c r="D647" s="1" t="s">
        <v>82</v>
      </c>
      <c r="E647" s="1">
        <v>4</v>
      </c>
      <c r="F647" s="1" t="s">
        <v>132</v>
      </c>
      <c r="G647" s="1" t="s">
        <v>133</v>
      </c>
    </row>
    <row r="648" spans="1:7" x14ac:dyDescent="0.3">
      <c r="A648" s="48">
        <v>45998</v>
      </c>
      <c r="B648" s="1">
        <v>2025</v>
      </c>
      <c r="C648" s="1">
        <v>12</v>
      </c>
      <c r="D648" s="1" t="s">
        <v>82</v>
      </c>
      <c r="E648" s="1">
        <v>4</v>
      </c>
      <c r="F648" s="1" t="s">
        <v>134</v>
      </c>
      <c r="G648" s="1" t="s">
        <v>133</v>
      </c>
    </row>
    <row r="649" spans="1:7" x14ac:dyDescent="0.3">
      <c r="A649" s="48">
        <v>45999</v>
      </c>
      <c r="B649" s="1">
        <v>2025</v>
      </c>
      <c r="C649" s="1">
        <v>12</v>
      </c>
      <c r="D649" s="1" t="s">
        <v>82</v>
      </c>
      <c r="E649" s="1">
        <v>4</v>
      </c>
      <c r="F649" s="1" t="s">
        <v>135</v>
      </c>
      <c r="G649" s="1" t="s">
        <v>83</v>
      </c>
    </row>
    <row r="650" spans="1:7" x14ac:dyDescent="0.3">
      <c r="A650" s="48">
        <v>46000</v>
      </c>
      <c r="B650" s="1">
        <v>2025</v>
      </c>
      <c r="C650" s="1">
        <v>12</v>
      </c>
      <c r="D650" s="1" t="s">
        <v>82</v>
      </c>
      <c r="E650" s="1">
        <v>4</v>
      </c>
      <c r="F650" s="1" t="s">
        <v>136</v>
      </c>
      <c r="G650" s="1" t="s">
        <v>83</v>
      </c>
    </row>
    <row r="651" spans="1:7" x14ac:dyDescent="0.3">
      <c r="A651" s="48">
        <v>46001</v>
      </c>
      <c r="B651" s="1">
        <v>2025</v>
      </c>
      <c r="C651" s="1">
        <v>12</v>
      </c>
      <c r="D651" s="1" t="s">
        <v>82</v>
      </c>
      <c r="E651" s="1">
        <v>4</v>
      </c>
      <c r="F651" s="1" t="s">
        <v>137</v>
      </c>
      <c r="G651" s="1" t="s">
        <v>83</v>
      </c>
    </row>
    <row r="652" spans="1:7" x14ac:dyDescent="0.3">
      <c r="A652" s="48">
        <v>46002</v>
      </c>
      <c r="B652" s="1">
        <v>2025</v>
      </c>
      <c r="C652" s="1">
        <v>12</v>
      </c>
      <c r="D652" s="1" t="s">
        <v>82</v>
      </c>
      <c r="E652" s="1">
        <v>4</v>
      </c>
      <c r="F652" s="1" t="s">
        <v>138</v>
      </c>
      <c r="G652" s="1" t="s">
        <v>83</v>
      </c>
    </row>
    <row r="653" spans="1:7" x14ac:dyDescent="0.3">
      <c r="A653" s="48">
        <v>46003</v>
      </c>
      <c r="B653" s="1">
        <v>2025</v>
      </c>
      <c r="C653" s="1">
        <v>12</v>
      </c>
      <c r="D653" s="1" t="s">
        <v>82</v>
      </c>
      <c r="E653" s="1">
        <v>4</v>
      </c>
      <c r="F653" s="1" t="s">
        <v>131</v>
      </c>
      <c r="G653" s="1" t="s">
        <v>83</v>
      </c>
    </row>
    <row r="654" spans="1:7" x14ac:dyDescent="0.3">
      <c r="A654" s="48">
        <v>46004</v>
      </c>
      <c r="B654" s="1">
        <v>2025</v>
      </c>
      <c r="C654" s="1">
        <v>12</v>
      </c>
      <c r="D654" s="1" t="s">
        <v>82</v>
      </c>
      <c r="E654" s="1">
        <v>4</v>
      </c>
      <c r="F654" s="1" t="s">
        <v>132</v>
      </c>
      <c r="G654" s="1" t="s">
        <v>133</v>
      </c>
    </row>
    <row r="655" spans="1:7" x14ac:dyDescent="0.3">
      <c r="A655" s="48">
        <v>46005</v>
      </c>
      <c r="B655" s="1">
        <v>2025</v>
      </c>
      <c r="C655" s="1">
        <v>12</v>
      </c>
      <c r="D655" s="1" t="s">
        <v>82</v>
      </c>
      <c r="E655" s="1">
        <v>4</v>
      </c>
      <c r="F655" s="1" t="s">
        <v>134</v>
      </c>
      <c r="G655" s="1" t="s">
        <v>133</v>
      </c>
    </row>
    <row r="656" spans="1:7" x14ac:dyDescent="0.3">
      <c r="A656" s="48">
        <v>46006</v>
      </c>
      <c r="B656" s="1">
        <v>2025</v>
      </c>
      <c r="C656" s="1">
        <v>12</v>
      </c>
      <c r="D656" s="1" t="s">
        <v>82</v>
      </c>
      <c r="E656" s="1">
        <v>4</v>
      </c>
      <c r="F656" s="1" t="s">
        <v>135</v>
      </c>
      <c r="G656" s="1" t="s">
        <v>83</v>
      </c>
    </row>
    <row r="657" spans="1:7" x14ac:dyDescent="0.3">
      <c r="A657" s="48">
        <v>46007</v>
      </c>
      <c r="B657" s="1">
        <v>2025</v>
      </c>
      <c r="C657" s="1">
        <v>12</v>
      </c>
      <c r="D657" s="1" t="s">
        <v>82</v>
      </c>
      <c r="E657" s="1">
        <v>4</v>
      </c>
      <c r="F657" s="1" t="s">
        <v>136</v>
      </c>
      <c r="G657" s="1" t="s">
        <v>83</v>
      </c>
    </row>
    <row r="658" spans="1:7" x14ac:dyDescent="0.3">
      <c r="A658" s="48">
        <v>46008</v>
      </c>
      <c r="B658" s="1">
        <v>2025</v>
      </c>
      <c r="C658" s="1">
        <v>12</v>
      </c>
      <c r="D658" s="1" t="s">
        <v>82</v>
      </c>
      <c r="E658" s="1">
        <v>4</v>
      </c>
      <c r="F658" s="1" t="s">
        <v>137</v>
      </c>
      <c r="G658" s="1" t="s">
        <v>83</v>
      </c>
    </row>
    <row r="659" spans="1:7" x14ac:dyDescent="0.3">
      <c r="A659" s="48">
        <v>46009</v>
      </c>
      <c r="B659" s="1">
        <v>2025</v>
      </c>
      <c r="C659" s="1">
        <v>12</v>
      </c>
      <c r="D659" s="1" t="s">
        <v>82</v>
      </c>
      <c r="E659" s="1">
        <v>4</v>
      </c>
      <c r="F659" s="1" t="s">
        <v>138</v>
      </c>
      <c r="G659" s="1" t="s">
        <v>83</v>
      </c>
    </row>
    <row r="660" spans="1:7" x14ac:dyDescent="0.3">
      <c r="A660" s="48">
        <v>46010</v>
      </c>
      <c r="B660" s="1">
        <v>2025</v>
      </c>
      <c r="C660" s="1">
        <v>12</v>
      </c>
      <c r="D660" s="1" t="s">
        <v>82</v>
      </c>
      <c r="E660" s="1">
        <v>4</v>
      </c>
      <c r="F660" s="1" t="s">
        <v>131</v>
      </c>
      <c r="G660" s="1" t="s">
        <v>83</v>
      </c>
    </row>
    <row r="661" spans="1:7" x14ac:dyDescent="0.3">
      <c r="A661" s="48">
        <v>46011</v>
      </c>
      <c r="B661" s="1">
        <v>2025</v>
      </c>
      <c r="C661" s="1">
        <v>12</v>
      </c>
      <c r="D661" s="1" t="s">
        <v>82</v>
      </c>
      <c r="E661" s="1">
        <v>4</v>
      </c>
      <c r="F661" s="1" t="s">
        <v>132</v>
      </c>
      <c r="G661" s="1" t="s">
        <v>133</v>
      </c>
    </row>
    <row r="662" spans="1:7" x14ac:dyDescent="0.3">
      <c r="A662" s="48">
        <v>46012</v>
      </c>
      <c r="B662" s="1">
        <v>2025</v>
      </c>
      <c r="C662" s="1">
        <v>12</v>
      </c>
      <c r="D662" s="1" t="s">
        <v>82</v>
      </c>
      <c r="E662" s="1">
        <v>4</v>
      </c>
      <c r="F662" s="1" t="s">
        <v>134</v>
      </c>
      <c r="G662" s="1" t="s">
        <v>133</v>
      </c>
    </row>
    <row r="663" spans="1:7" x14ac:dyDescent="0.3">
      <c r="A663" s="48">
        <v>46013</v>
      </c>
      <c r="B663" s="1">
        <v>2025</v>
      </c>
      <c r="C663" s="1">
        <v>12</v>
      </c>
      <c r="D663" s="1" t="s">
        <v>82</v>
      </c>
      <c r="E663" s="1">
        <v>4</v>
      </c>
      <c r="F663" s="1" t="s">
        <v>135</v>
      </c>
      <c r="G663" s="1" t="s">
        <v>83</v>
      </c>
    </row>
    <row r="664" spans="1:7" x14ac:dyDescent="0.3">
      <c r="A664" s="48">
        <v>46014</v>
      </c>
      <c r="B664" s="1">
        <v>2025</v>
      </c>
      <c r="C664" s="1">
        <v>12</v>
      </c>
      <c r="D664" s="1" t="s">
        <v>82</v>
      </c>
      <c r="E664" s="1">
        <v>4</v>
      </c>
      <c r="F664" s="1" t="s">
        <v>136</v>
      </c>
      <c r="G664" s="1" t="s">
        <v>83</v>
      </c>
    </row>
    <row r="665" spans="1:7" x14ac:dyDescent="0.3">
      <c r="A665" s="48">
        <v>46015</v>
      </c>
      <c r="B665" s="1">
        <v>2025</v>
      </c>
      <c r="C665" s="1">
        <v>12</v>
      </c>
      <c r="D665" s="1" t="s">
        <v>82</v>
      </c>
      <c r="E665" s="1">
        <v>4</v>
      </c>
      <c r="F665" s="1" t="s">
        <v>137</v>
      </c>
      <c r="G665" s="1" t="s">
        <v>83</v>
      </c>
    </row>
    <row r="666" spans="1:7" x14ac:dyDescent="0.3">
      <c r="A666" s="48">
        <v>46016</v>
      </c>
      <c r="B666" s="1">
        <v>2025</v>
      </c>
      <c r="C666" s="1">
        <v>12</v>
      </c>
      <c r="D666" s="1" t="s">
        <v>82</v>
      </c>
      <c r="E666" s="1">
        <v>4</v>
      </c>
      <c r="F666" s="1" t="s">
        <v>138</v>
      </c>
      <c r="G666" s="1" t="s">
        <v>83</v>
      </c>
    </row>
    <row r="667" spans="1:7" x14ac:dyDescent="0.3">
      <c r="A667" s="48">
        <v>46017</v>
      </c>
      <c r="B667" s="1">
        <v>2025</v>
      </c>
      <c r="C667" s="1">
        <v>12</v>
      </c>
      <c r="D667" s="1" t="s">
        <v>82</v>
      </c>
      <c r="E667" s="1">
        <v>4</v>
      </c>
      <c r="F667" s="1" t="s">
        <v>131</v>
      </c>
      <c r="G667" s="1" t="s">
        <v>83</v>
      </c>
    </row>
    <row r="668" spans="1:7" x14ac:dyDescent="0.3">
      <c r="A668" s="48">
        <v>46018</v>
      </c>
      <c r="B668" s="1">
        <v>2025</v>
      </c>
      <c r="C668" s="1">
        <v>12</v>
      </c>
      <c r="D668" s="1" t="s">
        <v>82</v>
      </c>
      <c r="E668" s="1">
        <v>4</v>
      </c>
      <c r="F668" s="1" t="s">
        <v>132</v>
      </c>
      <c r="G668" s="1" t="s">
        <v>133</v>
      </c>
    </row>
    <row r="669" spans="1:7" x14ac:dyDescent="0.3">
      <c r="A669" s="48">
        <v>46019</v>
      </c>
      <c r="B669" s="1">
        <v>2025</v>
      </c>
      <c r="C669" s="1">
        <v>12</v>
      </c>
      <c r="D669" s="1" t="s">
        <v>82</v>
      </c>
      <c r="E669" s="1">
        <v>4</v>
      </c>
      <c r="F669" s="1" t="s">
        <v>134</v>
      </c>
      <c r="G669" s="1" t="s">
        <v>133</v>
      </c>
    </row>
    <row r="670" spans="1:7" x14ac:dyDescent="0.3">
      <c r="A670" s="48">
        <v>46020</v>
      </c>
      <c r="B670" s="1">
        <v>2025</v>
      </c>
      <c r="C670" s="1">
        <v>12</v>
      </c>
      <c r="D670" s="1" t="s">
        <v>82</v>
      </c>
      <c r="E670" s="1">
        <v>4</v>
      </c>
      <c r="F670" s="1" t="s">
        <v>135</v>
      </c>
      <c r="G670" s="1" t="s">
        <v>83</v>
      </c>
    </row>
    <row r="671" spans="1:7" x14ac:dyDescent="0.3">
      <c r="A671" s="48">
        <v>46021</v>
      </c>
      <c r="B671" s="1">
        <v>2025</v>
      </c>
      <c r="C671" s="1">
        <v>12</v>
      </c>
      <c r="D671" s="1" t="s">
        <v>82</v>
      </c>
      <c r="E671" s="1">
        <v>4</v>
      </c>
      <c r="F671" s="1" t="s">
        <v>136</v>
      </c>
      <c r="G671" s="1" t="s">
        <v>83</v>
      </c>
    </row>
    <row r="672" spans="1:7" x14ac:dyDescent="0.3">
      <c r="A672" s="48">
        <v>46022</v>
      </c>
      <c r="B672" s="1">
        <v>2025</v>
      </c>
      <c r="C672" s="1">
        <v>12</v>
      </c>
      <c r="D672" s="1" t="s">
        <v>82</v>
      </c>
      <c r="E672" s="1">
        <v>4</v>
      </c>
      <c r="F672" s="1" t="s">
        <v>137</v>
      </c>
      <c r="G672" s="1" t="s">
        <v>83</v>
      </c>
    </row>
    <row r="673" spans="1:7" x14ac:dyDescent="0.3">
      <c r="A673" s="48">
        <v>46023</v>
      </c>
      <c r="B673" s="1">
        <v>2026</v>
      </c>
      <c r="C673" s="1">
        <v>1</v>
      </c>
      <c r="D673" s="1" t="s">
        <v>147</v>
      </c>
      <c r="E673" s="1">
        <v>1</v>
      </c>
      <c r="F673" s="1" t="s">
        <v>138</v>
      </c>
      <c r="G673" s="1" t="s">
        <v>83</v>
      </c>
    </row>
    <row r="674" spans="1:7" x14ac:dyDescent="0.3">
      <c r="A674" s="48">
        <v>46024</v>
      </c>
      <c r="B674" s="1">
        <v>2026</v>
      </c>
      <c r="C674" s="1">
        <v>1</v>
      </c>
      <c r="D674" s="1" t="s">
        <v>147</v>
      </c>
      <c r="E674" s="1">
        <v>1</v>
      </c>
      <c r="F674" s="1" t="s">
        <v>131</v>
      </c>
      <c r="G674" s="1" t="s">
        <v>83</v>
      </c>
    </row>
    <row r="675" spans="1:7" x14ac:dyDescent="0.3">
      <c r="A675" s="48">
        <v>46025</v>
      </c>
      <c r="B675" s="1">
        <v>2026</v>
      </c>
      <c r="C675" s="1">
        <v>1</v>
      </c>
      <c r="D675" s="1" t="s">
        <v>147</v>
      </c>
      <c r="E675" s="1">
        <v>1</v>
      </c>
      <c r="F675" s="1" t="s">
        <v>132</v>
      </c>
      <c r="G675" s="1" t="s">
        <v>133</v>
      </c>
    </row>
    <row r="676" spans="1:7" x14ac:dyDescent="0.3">
      <c r="A676" s="48">
        <v>46026</v>
      </c>
      <c r="B676" s="1">
        <v>2026</v>
      </c>
      <c r="C676" s="1">
        <v>1</v>
      </c>
      <c r="D676" s="1" t="s">
        <v>147</v>
      </c>
      <c r="E676" s="1">
        <v>1</v>
      </c>
      <c r="F676" s="1" t="s">
        <v>134</v>
      </c>
      <c r="G676" s="1" t="s">
        <v>133</v>
      </c>
    </row>
    <row r="677" spans="1:7" x14ac:dyDescent="0.3">
      <c r="A677" s="48">
        <v>46027</v>
      </c>
      <c r="B677" s="1">
        <v>2026</v>
      </c>
      <c r="C677" s="1">
        <v>1</v>
      </c>
      <c r="D677" s="1" t="s">
        <v>147</v>
      </c>
      <c r="E677" s="1">
        <v>1</v>
      </c>
      <c r="F677" s="1" t="s">
        <v>135</v>
      </c>
      <c r="G677" s="1" t="s">
        <v>83</v>
      </c>
    </row>
    <row r="678" spans="1:7" x14ac:dyDescent="0.3">
      <c r="A678" s="48">
        <v>46028</v>
      </c>
      <c r="B678" s="1">
        <v>2026</v>
      </c>
      <c r="C678" s="1">
        <v>1</v>
      </c>
      <c r="D678" s="1" t="s">
        <v>147</v>
      </c>
      <c r="E678" s="1">
        <v>1</v>
      </c>
      <c r="F678" s="1" t="s">
        <v>136</v>
      </c>
      <c r="G678" s="1" t="s">
        <v>83</v>
      </c>
    </row>
    <row r="679" spans="1:7" x14ac:dyDescent="0.3">
      <c r="A679" s="48">
        <v>46029</v>
      </c>
      <c r="B679" s="1">
        <v>2026</v>
      </c>
      <c r="C679" s="1">
        <v>1</v>
      </c>
      <c r="D679" s="1" t="s">
        <v>147</v>
      </c>
      <c r="E679" s="1">
        <v>1</v>
      </c>
      <c r="F679" s="1" t="s">
        <v>137</v>
      </c>
      <c r="G679" s="1" t="s">
        <v>83</v>
      </c>
    </row>
    <row r="680" spans="1:7" x14ac:dyDescent="0.3">
      <c r="A680" s="48">
        <v>46030</v>
      </c>
      <c r="B680" s="1">
        <v>2026</v>
      </c>
      <c r="C680" s="1">
        <v>1</v>
      </c>
      <c r="D680" s="1" t="s">
        <v>147</v>
      </c>
      <c r="E680" s="1">
        <v>1</v>
      </c>
      <c r="F680" s="1" t="s">
        <v>138</v>
      </c>
      <c r="G680" s="1" t="s">
        <v>83</v>
      </c>
    </row>
    <row r="681" spans="1:7" x14ac:dyDescent="0.3">
      <c r="A681" s="48">
        <v>46031</v>
      </c>
      <c r="B681" s="1">
        <v>2026</v>
      </c>
      <c r="C681" s="1">
        <v>1</v>
      </c>
      <c r="D681" s="1" t="s">
        <v>147</v>
      </c>
      <c r="E681" s="1">
        <v>1</v>
      </c>
      <c r="F681" s="1" t="s">
        <v>131</v>
      </c>
      <c r="G681" s="1" t="s">
        <v>83</v>
      </c>
    </row>
    <row r="682" spans="1:7" x14ac:dyDescent="0.3">
      <c r="A682" s="48">
        <v>46032</v>
      </c>
      <c r="B682" s="1">
        <v>2026</v>
      </c>
      <c r="C682" s="1">
        <v>1</v>
      </c>
      <c r="D682" s="1" t="s">
        <v>147</v>
      </c>
      <c r="E682" s="1">
        <v>1</v>
      </c>
      <c r="F682" s="1" t="s">
        <v>132</v>
      </c>
      <c r="G682" s="1" t="s">
        <v>133</v>
      </c>
    </row>
    <row r="683" spans="1:7" x14ac:dyDescent="0.3">
      <c r="A683" s="48">
        <v>46033</v>
      </c>
      <c r="B683" s="1">
        <v>2026</v>
      </c>
      <c r="C683" s="1">
        <v>1</v>
      </c>
      <c r="D683" s="1" t="s">
        <v>147</v>
      </c>
      <c r="E683" s="1">
        <v>1</v>
      </c>
      <c r="F683" s="1" t="s">
        <v>134</v>
      </c>
      <c r="G683" s="1" t="s">
        <v>133</v>
      </c>
    </row>
    <row r="684" spans="1:7" x14ac:dyDescent="0.3">
      <c r="A684" s="48">
        <v>46034</v>
      </c>
      <c r="B684" s="1">
        <v>2026</v>
      </c>
      <c r="C684" s="1">
        <v>1</v>
      </c>
      <c r="D684" s="1" t="s">
        <v>147</v>
      </c>
      <c r="E684" s="1">
        <v>1</v>
      </c>
      <c r="F684" s="1" t="s">
        <v>135</v>
      </c>
      <c r="G684" s="1" t="s">
        <v>83</v>
      </c>
    </row>
    <row r="685" spans="1:7" x14ac:dyDescent="0.3">
      <c r="A685" s="48">
        <v>46035</v>
      </c>
      <c r="B685" s="1">
        <v>2026</v>
      </c>
      <c r="C685" s="1">
        <v>1</v>
      </c>
      <c r="D685" s="1" t="s">
        <v>147</v>
      </c>
      <c r="E685" s="1">
        <v>1</v>
      </c>
      <c r="F685" s="1" t="s">
        <v>136</v>
      </c>
      <c r="G685" s="1" t="s">
        <v>83</v>
      </c>
    </row>
    <row r="686" spans="1:7" x14ac:dyDescent="0.3">
      <c r="A686" s="48">
        <v>46036</v>
      </c>
      <c r="B686" s="1">
        <v>2026</v>
      </c>
      <c r="C686" s="1">
        <v>1</v>
      </c>
      <c r="D686" s="1" t="s">
        <v>147</v>
      </c>
      <c r="E686" s="1">
        <v>1</v>
      </c>
      <c r="F686" s="1" t="s">
        <v>137</v>
      </c>
      <c r="G686" s="1" t="s">
        <v>83</v>
      </c>
    </row>
    <row r="687" spans="1:7" x14ac:dyDescent="0.3">
      <c r="A687" s="48">
        <v>46037</v>
      </c>
      <c r="B687" s="1">
        <v>2026</v>
      </c>
      <c r="C687" s="1">
        <v>1</v>
      </c>
      <c r="D687" s="1" t="s">
        <v>147</v>
      </c>
      <c r="E687" s="1">
        <v>1</v>
      </c>
      <c r="F687" s="1" t="s">
        <v>138</v>
      </c>
      <c r="G687" s="1" t="s">
        <v>83</v>
      </c>
    </row>
    <row r="688" spans="1:7" x14ac:dyDescent="0.3">
      <c r="A688" s="48">
        <v>46038</v>
      </c>
      <c r="B688" s="1">
        <v>2026</v>
      </c>
      <c r="C688" s="1">
        <v>1</v>
      </c>
      <c r="D688" s="1" t="s">
        <v>147</v>
      </c>
      <c r="E688" s="1">
        <v>1</v>
      </c>
      <c r="F688" s="1" t="s">
        <v>131</v>
      </c>
      <c r="G688" s="1" t="s">
        <v>83</v>
      </c>
    </row>
    <row r="689" spans="1:7" x14ac:dyDescent="0.3">
      <c r="A689" s="48">
        <v>46039</v>
      </c>
      <c r="B689" s="1">
        <v>2026</v>
      </c>
      <c r="C689" s="1">
        <v>1</v>
      </c>
      <c r="D689" s="1" t="s">
        <v>147</v>
      </c>
      <c r="E689" s="1">
        <v>1</v>
      </c>
      <c r="F689" s="1" t="s">
        <v>132</v>
      </c>
      <c r="G689" s="1" t="s">
        <v>133</v>
      </c>
    </row>
    <row r="690" spans="1:7" x14ac:dyDescent="0.3">
      <c r="A690" s="48">
        <v>46040</v>
      </c>
      <c r="B690" s="1">
        <v>2026</v>
      </c>
      <c r="C690" s="1">
        <v>1</v>
      </c>
      <c r="D690" s="1" t="s">
        <v>147</v>
      </c>
      <c r="E690" s="1">
        <v>1</v>
      </c>
      <c r="F690" s="1" t="s">
        <v>134</v>
      </c>
      <c r="G690" s="1" t="s">
        <v>133</v>
      </c>
    </row>
    <row r="691" spans="1:7" x14ac:dyDescent="0.3">
      <c r="A691" s="48">
        <v>46041</v>
      </c>
      <c r="B691" s="1">
        <v>2026</v>
      </c>
      <c r="C691" s="1">
        <v>1</v>
      </c>
      <c r="D691" s="1" t="s">
        <v>147</v>
      </c>
      <c r="E691" s="1">
        <v>1</v>
      </c>
      <c r="F691" s="1" t="s">
        <v>135</v>
      </c>
      <c r="G691" s="1" t="s">
        <v>83</v>
      </c>
    </row>
    <row r="692" spans="1:7" x14ac:dyDescent="0.3">
      <c r="A692" s="48">
        <v>46042</v>
      </c>
      <c r="B692" s="1">
        <v>2026</v>
      </c>
      <c r="C692" s="1">
        <v>1</v>
      </c>
      <c r="D692" s="1" t="s">
        <v>147</v>
      </c>
      <c r="E692" s="1">
        <v>1</v>
      </c>
      <c r="F692" s="1" t="s">
        <v>136</v>
      </c>
      <c r="G692" s="1" t="s">
        <v>83</v>
      </c>
    </row>
    <row r="693" spans="1:7" x14ac:dyDescent="0.3">
      <c r="A693" s="48">
        <v>46043</v>
      </c>
      <c r="B693" s="1">
        <v>2026</v>
      </c>
      <c r="C693" s="1">
        <v>1</v>
      </c>
      <c r="D693" s="1" t="s">
        <v>147</v>
      </c>
      <c r="E693" s="1">
        <v>1</v>
      </c>
      <c r="F693" s="1" t="s">
        <v>137</v>
      </c>
      <c r="G693" s="1" t="s">
        <v>83</v>
      </c>
    </row>
    <row r="694" spans="1:7" x14ac:dyDescent="0.3">
      <c r="A694" s="48">
        <v>46044</v>
      </c>
      <c r="B694" s="1">
        <v>2026</v>
      </c>
      <c r="C694" s="1">
        <v>1</v>
      </c>
      <c r="D694" s="1" t="s">
        <v>147</v>
      </c>
      <c r="E694" s="1">
        <v>1</v>
      </c>
      <c r="F694" s="1" t="s">
        <v>138</v>
      </c>
      <c r="G694" s="1" t="s">
        <v>83</v>
      </c>
    </row>
    <row r="695" spans="1:7" x14ac:dyDescent="0.3">
      <c r="A695" s="48">
        <v>46045</v>
      </c>
      <c r="B695" s="1">
        <v>2026</v>
      </c>
      <c r="C695" s="1">
        <v>1</v>
      </c>
      <c r="D695" s="1" t="s">
        <v>147</v>
      </c>
      <c r="E695" s="1">
        <v>1</v>
      </c>
      <c r="F695" s="1" t="s">
        <v>131</v>
      </c>
      <c r="G695" s="1" t="s">
        <v>83</v>
      </c>
    </row>
    <row r="696" spans="1:7" x14ac:dyDescent="0.3">
      <c r="A696" s="48">
        <v>46046</v>
      </c>
      <c r="B696" s="1">
        <v>2026</v>
      </c>
      <c r="C696" s="1">
        <v>1</v>
      </c>
      <c r="D696" s="1" t="s">
        <v>147</v>
      </c>
      <c r="E696" s="1">
        <v>1</v>
      </c>
      <c r="F696" s="1" t="s">
        <v>132</v>
      </c>
      <c r="G696" s="1" t="s">
        <v>133</v>
      </c>
    </row>
    <row r="697" spans="1:7" x14ac:dyDescent="0.3">
      <c r="A697" s="48">
        <v>46047</v>
      </c>
      <c r="B697" s="1">
        <v>2026</v>
      </c>
      <c r="C697" s="1">
        <v>1</v>
      </c>
      <c r="D697" s="1" t="s">
        <v>147</v>
      </c>
      <c r="E697" s="1">
        <v>1</v>
      </c>
      <c r="F697" s="1" t="s">
        <v>134</v>
      </c>
      <c r="G697" s="1" t="s">
        <v>133</v>
      </c>
    </row>
    <row r="698" spans="1:7" x14ac:dyDescent="0.3">
      <c r="A698" s="48">
        <v>46048</v>
      </c>
      <c r="B698" s="1">
        <v>2026</v>
      </c>
      <c r="C698" s="1">
        <v>1</v>
      </c>
      <c r="D698" s="1" t="s">
        <v>147</v>
      </c>
      <c r="E698" s="1">
        <v>1</v>
      </c>
      <c r="F698" s="1" t="s">
        <v>135</v>
      </c>
      <c r="G698" s="1" t="s">
        <v>83</v>
      </c>
    </row>
    <row r="699" spans="1:7" x14ac:dyDescent="0.3">
      <c r="A699" s="48">
        <v>46049</v>
      </c>
      <c r="B699" s="1">
        <v>2026</v>
      </c>
      <c r="C699" s="1">
        <v>1</v>
      </c>
      <c r="D699" s="1" t="s">
        <v>147</v>
      </c>
      <c r="E699" s="1">
        <v>1</v>
      </c>
      <c r="F699" s="1" t="s">
        <v>136</v>
      </c>
      <c r="G699" s="1" t="s">
        <v>83</v>
      </c>
    </row>
    <row r="700" spans="1:7" x14ac:dyDescent="0.3">
      <c r="A700" s="48">
        <v>46050</v>
      </c>
      <c r="B700" s="1">
        <v>2026</v>
      </c>
      <c r="C700" s="1">
        <v>1</v>
      </c>
      <c r="D700" s="1" t="s">
        <v>147</v>
      </c>
      <c r="E700" s="1">
        <v>1</v>
      </c>
      <c r="F700" s="1" t="s">
        <v>137</v>
      </c>
      <c r="G700" s="1" t="s">
        <v>83</v>
      </c>
    </row>
    <row r="701" spans="1:7" x14ac:dyDescent="0.3">
      <c r="A701" s="48">
        <v>46051</v>
      </c>
      <c r="B701" s="1">
        <v>2026</v>
      </c>
      <c r="C701" s="1">
        <v>1</v>
      </c>
      <c r="D701" s="1" t="s">
        <v>147</v>
      </c>
      <c r="E701" s="1">
        <v>1</v>
      </c>
      <c r="F701" s="1" t="s">
        <v>138</v>
      </c>
      <c r="G701" s="1" t="s">
        <v>83</v>
      </c>
    </row>
    <row r="702" spans="1:7" x14ac:dyDescent="0.3">
      <c r="A702" s="48">
        <v>46052</v>
      </c>
      <c r="B702" s="1">
        <v>2026</v>
      </c>
      <c r="C702" s="1">
        <v>1</v>
      </c>
      <c r="D702" s="1" t="s">
        <v>147</v>
      </c>
      <c r="E702" s="1">
        <v>1</v>
      </c>
      <c r="F702" s="1" t="s">
        <v>131</v>
      </c>
      <c r="G702" s="1" t="s">
        <v>83</v>
      </c>
    </row>
    <row r="703" spans="1:7" x14ac:dyDescent="0.3">
      <c r="A703" s="48">
        <v>46053</v>
      </c>
      <c r="B703" s="1">
        <v>2026</v>
      </c>
      <c r="C703" s="1">
        <v>1</v>
      </c>
      <c r="D703" s="1" t="s">
        <v>147</v>
      </c>
      <c r="E703" s="1">
        <v>1</v>
      </c>
      <c r="F703" s="1" t="s">
        <v>132</v>
      </c>
      <c r="G703" s="1" t="s">
        <v>133</v>
      </c>
    </row>
    <row r="704" spans="1:7" x14ac:dyDescent="0.3">
      <c r="A704" s="48">
        <v>46054</v>
      </c>
      <c r="B704" s="1">
        <v>2026</v>
      </c>
      <c r="C704" s="1">
        <v>2</v>
      </c>
      <c r="D704" s="1" t="s">
        <v>148</v>
      </c>
      <c r="E704" s="1">
        <v>1</v>
      </c>
      <c r="F704" s="1" t="s">
        <v>134</v>
      </c>
      <c r="G704" s="1" t="s">
        <v>133</v>
      </c>
    </row>
    <row r="705" spans="1:7" x14ac:dyDescent="0.3">
      <c r="A705" s="48">
        <v>46055</v>
      </c>
      <c r="B705" s="1">
        <v>2026</v>
      </c>
      <c r="C705" s="1">
        <v>2</v>
      </c>
      <c r="D705" s="1" t="s">
        <v>148</v>
      </c>
      <c r="E705" s="1">
        <v>1</v>
      </c>
      <c r="F705" s="1" t="s">
        <v>135</v>
      </c>
      <c r="G705" s="1" t="s">
        <v>83</v>
      </c>
    </row>
    <row r="706" spans="1:7" x14ac:dyDescent="0.3">
      <c r="A706" s="48">
        <v>46056</v>
      </c>
      <c r="B706" s="1">
        <v>2026</v>
      </c>
      <c r="C706" s="1">
        <v>2</v>
      </c>
      <c r="D706" s="1" t="s">
        <v>148</v>
      </c>
      <c r="E706" s="1">
        <v>1</v>
      </c>
      <c r="F706" s="1" t="s">
        <v>136</v>
      </c>
      <c r="G706" s="1" t="s">
        <v>83</v>
      </c>
    </row>
    <row r="707" spans="1:7" x14ac:dyDescent="0.3">
      <c r="A707" s="48">
        <v>46057</v>
      </c>
      <c r="B707" s="1">
        <v>2026</v>
      </c>
      <c r="C707" s="1">
        <v>2</v>
      </c>
      <c r="D707" s="1" t="s">
        <v>148</v>
      </c>
      <c r="E707" s="1">
        <v>1</v>
      </c>
      <c r="F707" s="1" t="s">
        <v>137</v>
      </c>
      <c r="G707" s="1" t="s">
        <v>83</v>
      </c>
    </row>
    <row r="708" spans="1:7" x14ac:dyDescent="0.3">
      <c r="A708" s="48">
        <v>46058</v>
      </c>
      <c r="B708" s="1">
        <v>2026</v>
      </c>
      <c r="C708" s="1">
        <v>2</v>
      </c>
      <c r="D708" s="1" t="s">
        <v>148</v>
      </c>
      <c r="E708" s="1">
        <v>1</v>
      </c>
      <c r="F708" s="1" t="s">
        <v>138</v>
      </c>
      <c r="G708" s="1" t="s">
        <v>83</v>
      </c>
    </row>
    <row r="709" spans="1:7" x14ac:dyDescent="0.3">
      <c r="A709" s="48">
        <v>46059</v>
      </c>
      <c r="B709" s="1">
        <v>2026</v>
      </c>
      <c r="C709" s="1">
        <v>2</v>
      </c>
      <c r="D709" s="1" t="s">
        <v>148</v>
      </c>
      <c r="E709" s="1">
        <v>1</v>
      </c>
      <c r="F709" s="1" t="s">
        <v>131</v>
      </c>
      <c r="G709" s="1" t="s">
        <v>83</v>
      </c>
    </row>
    <row r="710" spans="1:7" x14ac:dyDescent="0.3">
      <c r="A710" s="48">
        <v>46060</v>
      </c>
      <c r="B710" s="1">
        <v>2026</v>
      </c>
      <c r="C710" s="1">
        <v>2</v>
      </c>
      <c r="D710" s="1" t="s">
        <v>148</v>
      </c>
      <c r="E710" s="1">
        <v>1</v>
      </c>
      <c r="F710" s="1" t="s">
        <v>132</v>
      </c>
      <c r="G710" s="1" t="s">
        <v>133</v>
      </c>
    </row>
    <row r="711" spans="1:7" x14ac:dyDescent="0.3">
      <c r="A711" s="48">
        <v>46061</v>
      </c>
      <c r="B711" s="1">
        <v>2026</v>
      </c>
      <c r="C711" s="1">
        <v>2</v>
      </c>
      <c r="D711" s="1" t="s">
        <v>148</v>
      </c>
      <c r="E711" s="1">
        <v>1</v>
      </c>
      <c r="F711" s="1" t="s">
        <v>134</v>
      </c>
      <c r="G711" s="1" t="s">
        <v>133</v>
      </c>
    </row>
    <row r="712" spans="1:7" x14ac:dyDescent="0.3">
      <c r="A712" s="48">
        <v>46062</v>
      </c>
      <c r="B712" s="1">
        <v>2026</v>
      </c>
      <c r="C712" s="1">
        <v>2</v>
      </c>
      <c r="D712" s="1" t="s">
        <v>148</v>
      </c>
      <c r="E712" s="1">
        <v>1</v>
      </c>
      <c r="F712" s="1" t="s">
        <v>135</v>
      </c>
      <c r="G712" s="1" t="s">
        <v>83</v>
      </c>
    </row>
    <row r="713" spans="1:7" x14ac:dyDescent="0.3">
      <c r="A713" s="48">
        <v>46063</v>
      </c>
      <c r="B713" s="1">
        <v>2026</v>
      </c>
      <c r="C713" s="1">
        <v>2</v>
      </c>
      <c r="D713" s="1" t="s">
        <v>148</v>
      </c>
      <c r="E713" s="1">
        <v>1</v>
      </c>
      <c r="F713" s="1" t="s">
        <v>136</v>
      </c>
      <c r="G713" s="1" t="s">
        <v>83</v>
      </c>
    </row>
    <row r="714" spans="1:7" x14ac:dyDescent="0.3">
      <c r="A714" s="48">
        <v>46064</v>
      </c>
      <c r="B714" s="1">
        <v>2026</v>
      </c>
      <c r="C714" s="1">
        <v>2</v>
      </c>
      <c r="D714" s="1" t="s">
        <v>148</v>
      </c>
      <c r="E714" s="1">
        <v>1</v>
      </c>
      <c r="F714" s="1" t="s">
        <v>137</v>
      </c>
      <c r="G714" s="1" t="s">
        <v>83</v>
      </c>
    </row>
    <row r="715" spans="1:7" x14ac:dyDescent="0.3">
      <c r="A715" s="48">
        <v>46065</v>
      </c>
      <c r="B715" s="1">
        <v>2026</v>
      </c>
      <c r="C715" s="1">
        <v>2</v>
      </c>
      <c r="D715" s="1" t="s">
        <v>148</v>
      </c>
      <c r="E715" s="1">
        <v>1</v>
      </c>
      <c r="F715" s="1" t="s">
        <v>138</v>
      </c>
      <c r="G715" s="1" t="s">
        <v>83</v>
      </c>
    </row>
    <row r="716" spans="1:7" x14ac:dyDescent="0.3">
      <c r="A716" s="48">
        <v>46066</v>
      </c>
      <c r="B716" s="1">
        <v>2026</v>
      </c>
      <c r="C716" s="1">
        <v>2</v>
      </c>
      <c r="D716" s="1" t="s">
        <v>148</v>
      </c>
      <c r="E716" s="1">
        <v>1</v>
      </c>
      <c r="F716" s="1" t="s">
        <v>131</v>
      </c>
      <c r="G716" s="1" t="s">
        <v>83</v>
      </c>
    </row>
    <row r="717" spans="1:7" x14ac:dyDescent="0.3">
      <c r="A717" s="48">
        <v>46067</v>
      </c>
      <c r="B717" s="1">
        <v>2026</v>
      </c>
      <c r="C717" s="1">
        <v>2</v>
      </c>
      <c r="D717" s="1" t="s">
        <v>148</v>
      </c>
      <c r="E717" s="1">
        <v>1</v>
      </c>
      <c r="F717" s="1" t="s">
        <v>132</v>
      </c>
      <c r="G717" s="1" t="s">
        <v>133</v>
      </c>
    </row>
    <row r="718" spans="1:7" x14ac:dyDescent="0.3">
      <c r="A718" s="48">
        <v>46068</v>
      </c>
      <c r="B718" s="1">
        <v>2026</v>
      </c>
      <c r="C718" s="1">
        <v>2</v>
      </c>
      <c r="D718" s="1" t="s">
        <v>148</v>
      </c>
      <c r="E718" s="1">
        <v>1</v>
      </c>
      <c r="F718" s="1" t="s">
        <v>134</v>
      </c>
      <c r="G718" s="1" t="s">
        <v>133</v>
      </c>
    </row>
    <row r="719" spans="1:7" x14ac:dyDescent="0.3">
      <c r="A719" s="48">
        <v>46069</v>
      </c>
      <c r="B719" s="1">
        <v>2026</v>
      </c>
      <c r="C719" s="1">
        <v>2</v>
      </c>
      <c r="D719" s="1" t="s">
        <v>148</v>
      </c>
      <c r="E719" s="1">
        <v>1</v>
      </c>
      <c r="F719" s="1" t="s">
        <v>135</v>
      </c>
      <c r="G719" s="1" t="s">
        <v>83</v>
      </c>
    </row>
    <row r="720" spans="1:7" x14ac:dyDescent="0.3">
      <c r="A720" s="48">
        <v>46070</v>
      </c>
      <c r="B720" s="1">
        <v>2026</v>
      </c>
      <c r="C720" s="1">
        <v>2</v>
      </c>
      <c r="D720" s="1" t="s">
        <v>148</v>
      </c>
      <c r="E720" s="1">
        <v>1</v>
      </c>
      <c r="F720" s="1" t="s">
        <v>136</v>
      </c>
      <c r="G720" s="1" t="s">
        <v>83</v>
      </c>
    </row>
    <row r="721" spans="1:7" x14ac:dyDescent="0.3">
      <c r="A721" s="48">
        <v>46071</v>
      </c>
      <c r="B721" s="1">
        <v>2026</v>
      </c>
      <c r="C721" s="1">
        <v>2</v>
      </c>
      <c r="D721" s="1" t="s">
        <v>148</v>
      </c>
      <c r="E721" s="1">
        <v>1</v>
      </c>
      <c r="F721" s="1" t="s">
        <v>137</v>
      </c>
      <c r="G721" s="1" t="s">
        <v>83</v>
      </c>
    </row>
    <row r="722" spans="1:7" x14ac:dyDescent="0.3">
      <c r="A722" s="48">
        <v>46072</v>
      </c>
      <c r="B722" s="1">
        <v>2026</v>
      </c>
      <c r="C722" s="1">
        <v>2</v>
      </c>
      <c r="D722" s="1" t="s">
        <v>148</v>
      </c>
      <c r="E722" s="1">
        <v>1</v>
      </c>
      <c r="F722" s="1" t="s">
        <v>138</v>
      </c>
      <c r="G722" s="1" t="s">
        <v>83</v>
      </c>
    </row>
    <row r="723" spans="1:7" x14ac:dyDescent="0.3">
      <c r="A723" s="48">
        <v>46073</v>
      </c>
      <c r="B723" s="1">
        <v>2026</v>
      </c>
      <c r="C723" s="1">
        <v>2</v>
      </c>
      <c r="D723" s="1" t="s">
        <v>148</v>
      </c>
      <c r="E723" s="1">
        <v>1</v>
      </c>
      <c r="F723" s="1" t="s">
        <v>131</v>
      </c>
      <c r="G723" s="1" t="s">
        <v>83</v>
      </c>
    </row>
    <row r="724" spans="1:7" x14ac:dyDescent="0.3">
      <c r="A724" s="48">
        <v>46074</v>
      </c>
      <c r="B724" s="1">
        <v>2026</v>
      </c>
      <c r="C724" s="1">
        <v>2</v>
      </c>
      <c r="D724" s="1" t="s">
        <v>148</v>
      </c>
      <c r="E724" s="1">
        <v>1</v>
      </c>
      <c r="F724" s="1" t="s">
        <v>132</v>
      </c>
      <c r="G724" s="1" t="s">
        <v>133</v>
      </c>
    </row>
    <row r="725" spans="1:7" x14ac:dyDescent="0.3">
      <c r="A725" s="48">
        <v>46075</v>
      </c>
      <c r="B725" s="1">
        <v>2026</v>
      </c>
      <c r="C725" s="1">
        <v>2</v>
      </c>
      <c r="D725" s="1" t="s">
        <v>148</v>
      </c>
      <c r="E725" s="1">
        <v>1</v>
      </c>
      <c r="F725" s="1" t="s">
        <v>134</v>
      </c>
      <c r="G725" s="1" t="s">
        <v>133</v>
      </c>
    </row>
    <row r="726" spans="1:7" x14ac:dyDescent="0.3">
      <c r="A726" s="48">
        <v>46076</v>
      </c>
      <c r="B726" s="1">
        <v>2026</v>
      </c>
      <c r="C726" s="1">
        <v>2</v>
      </c>
      <c r="D726" s="1" t="s">
        <v>148</v>
      </c>
      <c r="E726" s="1">
        <v>1</v>
      </c>
      <c r="F726" s="1" t="s">
        <v>135</v>
      </c>
      <c r="G726" s="1" t="s">
        <v>83</v>
      </c>
    </row>
    <row r="727" spans="1:7" x14ac:dyDescent="0.3">
      <c r="A727" s="48">
        <v>46077</v>
      </c>
      <c r="B727" s="1">
        <v>2026</v>
      </c>
      <c r="C727" s="1">
        <v>2</v>
      </c>
      <c r="D727" s="1" t="s">
        <v>148</v>
      </c>
      <c r="E727" s="1">
        <v>1</v>
      </c>
      <c r="F727" s="1" t="s">
        <v>136</v>
      </c>
      <c r="G727" s="1" t="s">
        <v>83</v>
      </c>
    </row>
    <row r="728" spans="1:7" x14ac:dyDescent="0.3">
      <c r="A728" s="48">
        <v>46078</v>
      </c>
      <c r="B728" s="1">
        <v>2026</v>
      </c>
      <c r="C728" s="1">
        <v>2</v>
      </c>
      <c r="D728" s="1" t="s">
        <v>148</v>
      </c>
      <c r="E728" s="1">
        <v>1</v>
      </c>
      <c r="F728" s="1" t="s">
        <v>137</v>
      </c>
      <c r="G728" s="1" t="s">
        <v>83</v>
      </c>
    </row>
    <row r="729" spans="1:7" x14ac:dyDescent="0.3">
      <c r="A729" s="48">
        <v>46079</v>
      </c>
      <c r="B729" s="1">
        <v>2026</v>
      </c>
      <c r="C729" s="1">
        <v>2</v>
      </c>
      <c r="D729" s="1" t="s">
        <v>148</v>
      </c>
      <c r="E729" s="1">
        <v>1</v>
      </c>
      <c r="F729" s="1" t="s">
        <v>138</v>
      </c>
      <c r="G729" s="1" t="s">
        <v>83</v>
      </c>
    </row>
    <row r="730" spans="1:7" x14ac:dyDescent="0.3">
      <c r="A730" s="48">
        <v>46080</v>
      </c>
      <c r="B730" s="1">
        <v>2026</v>
      </c>
      <c r="C730" s="1">
        <v>2</v>
      </c>
      <c r="D730" s="1" t="s">
        <v>148</v>
      </c>
      <c r="E730" s="1">
        <v>1</v>
      </c>
      <c r="F730" s="1" t="s">
        <v>131</v>
      </c>
      <c r="G730" s="1" t="s">
        <v>83</v>
      </c>
    </row>
    <row r="731" spans="1:7" x14ac:dyDescent="0.3">
      <c r="A731" s="48">
        <v>46081</v>
      </c>
      <c r="B731" s="1">
        <v>2026</v>
      </c>
      <c r="C731" s="1">
        <v>2</v>
      </c>
      <c r="D731" s="1" t="s">
        <v>148</v>
      </c>
      <c r="E731" s="1">
        <v>1</v>
      </c>
      <c r="F731" s="1" t="s">
        <v>132</v>
      </c>
      <c r="G731" s="1" t="s">
        <v>133</v>
      </c>
    </row>
    <row r="732" spans="1:7" x14ac:dyDescent="0.3">
      <c r="A732" s="48">
        <v>46082</v>
      </c>
      <c r="B732" s="1">
        <v>2026</v>
      </c>
      <c r="C732" s="1">
        <v>3</v>
      </c>
      <c r="D732" s="1" t="s">
        <v>130</v>
      </c>
      <c r="E732" s="1">
        <v>1</v>
      </c>
      <c r="F732" s="1" t="s">
        <v>134</v>
      </c>
      <c r="G732" s="1" t="s">
        <v>133</v>
      </c>
    </row>
    <row r="733" spans="1:7" x14ac:dyDescent="0.3">
      <c r="A733" s="48">
        <v>46083</v>
      </c>
      <c r="B733" s="1">
        <v>2026</v>
      </c>
      <c r="C733" s="1">
        <v>3</v>
      </c>
      <c r="D733" s="1" t="s">
        <v>130</v>
      </c>
      <c r="E733" s="1">
        <v>1</v>
      </c>
      <c r="F733" s="1" t="s">
        <v>135</v>
      </c>
      <c r="G733" s="1" t="s">
        <v>83</v>
      </c>
    </row>
    <row r="734" spans="1:7" x14ac:dyDescent="0.3">
      <c r="A734" s="48">
        <v>46084</v>
      </c>
      <c r="B734" s="1">
        <v>2026</v>
      </c>
      <c r="C734" s="1">
        <v>3</v>
      </c>
      <c r="D734" s="1" t="s">
        <v>130</v>
      </c>
      <c r="E734" s="1">
        <v>1</v>
      </c>
      <c r="F734" s="1" t="s">
        <v>136</v>
      </c>
      <c r="G734" s="1" t="s">
        <v>83</v>
      </c>
    </row>
    <row r="735" spans="1:7" x14ac:dyDescent="0.3">
      <c r="A735" s="48">
        <v>46085</v>
      </c>
      <c r="B735" s="1">
        <v>2026</v>
      </c>
      <c r="C735" s="1">
        <v>3</v>
      </c>
      <c r="D735" s="1" t="s">
        <v>130</v>
      </c>
      <c r="E735" s="1">
        <v>1</v>
      </c>
      <c r="F735" s="1" t="s">
        <v>137</v>
      </c>
      <c r="G735" s="1" t="s">
        <v>83</v>
      </c>
    </row>
    <row r="736" spans="1:7" x14ac:dyDescent="0.3">
      <c r="A736" s="48">
        <v>46086</v>
      </c>
      <c r="B736" s="1">
        <v>2026</v>
      </c>
      <c r="C736" s="1">
        <v>3</v>
      </c>
      <c r="D736" s="1" t="s">
        <v>130</v>
      </c>
      <c r="E736" s="1">
        <v>1</v>
      </c>
      <c r="F736" s="1" t="s">
        <v>138</v>
      </c>
      <c r="G736" s="1" t="s">
        <v>83</v>
      </c>
    </row>
    <row r="737" spans="1:7" x14ac:dyDescent="0.3">
      <c r="A737" s="48">
        <v>46087</v>
      </c>
      <c r="B737" s="1">
        <v>2026</v>
      </c>
      <c r="C737" s="1">
        <v>3</v>
      </c>
      <c r="D737" s="1" t="s">
        <v>130</v>
      </c>
      <c r="E737" s="1">
        <v>1</v>
      </c>
      <c r="F737" s="1" t="s">
        <v>131</v>
      </c>
      <c r="G737" s="1" t="s">
        <v>83</v>
      </c>
    </row>
    <row r="738" spans="1:7" x14ac:dyDescent="0.3">
      <c r="A738" s="48">
        <v>46088</v>
      </c>
      <c r="B738" s="1">
        <v>2026</v>
      </c>
      <c r="C738" s="1">
        <v>3</v>
      </c>
      <c r="D738" s="1" t="s">
        <v>130</v>
      </c>
      <c r="E738" s="1">
        <v>1</v>
      </c>
      <c r="F738" s="1" t="s">
        <v>132</v>
      </c>
      <c r="G738" s="1" t="s">
        <v>133</v>
      </c>
    </row>
    <row r="739" spans="1:7" x14ac:dyDescent="0.3">
      <c r="A739" s="48">
        <v>46089</v>
      </c>
      <c r="B739" s="1">
        <v>2026</v>
      </c>
      <c r="C739" s="1">
        <v>3</v>
      </c>
      <c r="D739" s="1" t="s">
        <v>130</v>
      </c>
      <c r="E739" s="1">
        <v>1</v>
      </c>
      <c r="F739" s="1" t="s">
        <v>134</v>
      </c>
      <c r="G739" s="1" t="s">
        <v>133</v>
      </c>
    </row>
    <row r="740" spans="1:7" x14ac:dyDescent="0.3">
      <c r="A740" s="48">
        <v>46090</v>
      </c>
      <c r="B740" s="1">
        <v>2026</v>
      </c>
      <c r="C740" s="1">
        <v>3</v>
      </c>
      <c r="D740" s="1" t="s">
        <v>130</v>
      </c>
      <c r="E740" s="1">
        <v>1</v>
      </c>
      <c r="F740" s="1" t="s">
        <v>135</v>
      </c>
      <c r="G740" s="1" t="s">
        <v>83</v>
      </c>
    </row>
    <row r="741" spans="1:7" x14ac:dyDescent="0.3">
      <c r="A741" s="48">
        <v>46091</v>
      </c>
      <c r="B741" s="1">
        <v>2026</v>
      </c>
      <c r="C741" s="1">
        <v>3</v>
      </c>
      <c r="D741" s="1" t="s">
        <v>130</v>
      </c>
      <c r="E741" s="1">
        <v>1</v>
      </c>
      <c r="F741" s="1" t="s">
        <v>136</v>
      </c>
      <c r="G741" s="1" t="s">
        <v>83</v>
      </c>
    </row>
    <row r="742" spans="1:7" x14ac:dyDescent="0.3">
      <c r="A742" s="48">
        <v>46092</v>
      </c>
      <c r="B742" s="1">
        <v>2026</v>
      </c>
      <c r="C742" s="1">
        <v>3</v>
      </c>
      <c r="D742" s="1" t="s">
        <v>130</v>
      </c>
      <c r="E742" s="1">
        <v>1</v>
      </c>
      <c r="F742" s="1" t="s">
        <v>137</v>
      </c>
      <c r="G742" s="1" t="s">
        <v>83</v>
      </c>
    </row>
    <row r="743" spans="1:7" x14ac:dyDescent="0.3">
      <c r="A743" s="48">
        <v>46093</v>
      </c>
      <c r="B743" s="1">
        <v>2026</v>
      </c>
      <c r="C743" s="1">
        <v>3</v>
      </c>
      <c r="D743" s="1" t="s">
        <v>130</v>
      </c>
      <c r="E743" s="1">
        <v>1</v>
      </c>
      <c r="F743" s="1" t="s">
        <v>138</v>
      </c>
      <c r="G743" s="1" t="s">
        <v>83</v>
      </c>
    </row>
    <row r="744" spans="1:7" x14ac:dyDescent="0.3">
      <c r="A744" s="48">
        <v>46094</v>
      </c>
      <c r="B744" s="1">
        <v>2026</v>
      </c>
      <c r="C744" s="1">
        <v>3</v>
      </c>
      <c r="D744" s="1" t="s">
        <v>130</v>
      </c>
      <c r="E744" s="1">
        <v>1</v>
      </c>
      <c r="F744" s="1" t="s">
        <v>131</v>
      </c>
      <c r="G744" s="1" t="s">
        <v>83</v>
      </c>
    </row>
    <row r="745" spans="1:7" x14ac:dyDescent="0.3">
      <c r="A745" s="48">
        <v>46095</v>
      </c>
      <c r="B745" s="1">
        <v>2026</v>
      </c>
      <c r="C745" s="1">
        <v>3</v>
      </c>
      <c r="D745" s="1" t="s">
        <v>130</v>
      </c>
      <c r="E745" s="1">
        <v>1</v>
      </c>
      <c r="F745" s="1" t="s">
        <v>132</v>
      </c>
      <c r="G745" s="1" t="s">
        <v>133</v>
      </c>
    </row>
    <row r="746" spans="1:7" x14ac:dyDescent="0.3">
      <c r="A746" s="48">
        <v>46096</v>
      </c>
      <c r="B746" s="1">
        <v>2026</v>
      </c>
      <c r="C746" s="1">
        <v>3</v>
      </c>
      <c r="D746" s="1" t="s">
        <v>130</v>
      </c>
      <c r="E746" s="1">
        <v>1</v>
      </c>
      <c r="F746" s="1" t="s">
        <v>134</v>
      </c>
      <c r="G746" s="1" t="s">
        <v>133</v>
      </c>
    </row>
    <row r="747" spans="1:7" x14ac:dyDescent="0.3">
      <c r="A747" s="48">
        <v>46097</v>
      </c>
      <c r="B747" s="1">
        <v>2026</v>
      </c>
      <c r="C747" s="1">
        <v>3</v>
      </c>
      <c r="D747" s="1" t="s">
        <v>130</v>
      </c>
      <c r="E747" s="1">
        <v>1</v>
      </c>
      <c r="F747" s="1" t="s">
        <v>135</v>
      </c>
      <c r="G747" s="1" t="s">
        <v>83</v>
      </c>
    </row>
    <row r="748" spans="1:7" x14ac:dyDescent="0.3">
      <c r="A748" s="48">
        <v>46098</v>
      </c>
      <c r="B748" s="1">
        <v>2026</v>
      </c>
      <c r="C748" s="1">
        <v>3</v>
      </c>
      <c r="D748" s="1" t="s">
        <v>130</v>
      </c>
      <c r="E748" s="1">
        <v>1</v>
      </c>
      <c r="F748" s="1" t="s">
        <v>136</v>
      </c>
      <c r="G748" s="1" t="s">
        <v>83</v>
      </c>
    </row>
    <row r="749" spans="1:7" x14ac:dyDescent="0.3">
      <c r="A749" s="48">
        <v>46099</v>
      </c>
      <c r="B749" s="1">
        <v>2026</v>
      </c>
      <c r="C749" s="1">
        <v>3</v>
      </c>
      <c r="D749" s="1" t="s">
        <v>130</v>
      </c>
      <c r="E749" s="1">
        <v>1</v>
      </c>
      <c r="F749" s="1" t="s">
        <v>137</v>
      </c>
      <c r="G749" s="1" t="s">
        <v>83</v>
      </c>
    </row>
    <row r="750" spans="1:7" x14ac:dyDescent="0.3">
      <c r="A750" s="48">
        <v>46100</v>
      </c>
      <c r="B750" s="1">
        <v>2026</v>
      </c>
      <c r="C750" s="1">
        <v>3</v>
      </c>
      <c r="D750" s="1" t="s">
        <v>130</v>
      </c>
      <c r="E750" s="1">
        <v>1</v>
      </c>
      <c r="F750" s="1" t="s">
        <v>138</v>
      </c>
      <c r="G750" s="1" t="s">
        <v>83</v>
      </c>
    </row>
    <row r="751" spans="1:7" x14ac:dyDescent="0.3">
      <c r="A751" s="48">
        <v>46101</v>
      </c>
      <c r="B751" s="1">
        <v>2026</v>
      </c>
      <c r="C751" s="1">
        <v>3</v>
      </c>
      <c r="D751" s="1" t="s">
        <v>130</v>
      </c>
      <c r="E751" s="1">
        <v>1</v>
      </c>
      <c r="F751" s="1" t="s">
        <v>131</v>
      </c>
      <c r="G751" s="1" t="s">
        <v>83</v>
      </c>
    </row>
    <row r="752" spans="1:7" x14ac:dyDescent="0.3">
      <c r="A752" s="48">
        <v>46102</v>
      </c>
      <c r="B752" s="1">
        <v>2026</v>
      </c>
      <c r="C752" s="1">
        <v>3</v>
      </c>
      <c r="D752" s="1" t="s">
        <v>130</v>
      </c>
      <c r="E752" s="1">
        <v>1</v>
      </c>
      <c r="F752" s="1" t="s">
        <v>132</v>
      </c>
      <c r="G752" s="1" t="s">
        <v>133</v>
      </c>
    </row>
    <row r="753" spans="1:7" x14ac:dyDescent="0.3">
      <c r="A753" s="48">
        <v>46103</v>
      </c>
      <c r="B753" s="1">
        <v>2026</v>
      </c>
      <c r="C753" s="1">
        <v>3</v>
      </c>
      <c r="D753" s="1" t="s">
        <v>130</v>
      </c>
      <c r="E753" s="1">
        <v>1</v>
      </c>
      <c r="F753" s="1" t="s">
        <v>134</v>
      </c>
      <c r="G753" s="1" t="s">
        <v>133</v>
      </c>
    </row>
    <row r="754" spans="1:7" x14ac:dyDescent="0.3">
      <c r="A754" s="48">
        <v>46104</v>
      </c>
      <c r="B754" s="1">
        <v>2026</v>
      </c>
      <c r="C754" s="1">
        <v>3</v>
      </c>
      <c r="D754" s="1" t="s">
        <v>130</v>
      </c>
      <c r="E754" s="1">
        <v>1</v>
      </c>
      <c r="F754" s="1" t="s">
        <v>135</v>
      </c>
      <c r="G754" s="1" t="s">
        <v>83</v>
      </c>
    </row>
    <row r="755" spans="1:7" x14ac:dyDescent="0.3">
      <c r="A755" s="48">
        <v>46105</v>
      </c>
      <c r="B755" s="1">
        <v>2026</v>
      </c>
      <c r="C755" s="1">
        <v>3</v>
      </c>
      <c r="D755" s="1" t="s">
        <v>130</v>
      </c>
      <c r="E755" s="1">
        <v>1</v>
      </c>
      <c r="F755" s="1" t="s">
        <v>136</v>
      </c>
      <c r="G755" s="1" t="s">
        <v>83</v>
      </c>
    </row>
    <row r="756" spans="1:7" x14ac:dyDescent="0.3">
      <c r="A756" s="48">
        <v>46106</v>
      </c>
      <c r="B756" s="1">
        <v>2026</v>
      </c>
      <c r="C756" s="1">
        <v>3</v>
      </c>
      <c r="D756" s="1" t="s">
        <v>130</v>
      </c>
      <c r="E756" s="1">
        <v>1</v>
      </c>
      <c r="F756" s="1" t="s">
        <v>137</v>
      </c>
      <c r="G756" s="1" t="s">
        <v>83</v>
      </c>
    </row>
    <row r="757" spans="1:7" x14ac:dyDescent="0.3">
      <c r="A757" s="48">
        <v>46107</v>
      </c>
      <c r="B757" s="1">
        <v>2026</v>
      </c>
      <c r="C757" s="1">
        <v>3</v>
      </c>
      <c r="D757" s="1" t="s">
        <v>130</v>
      </c>
      <c r="E757" s="1">
        <v>1</v>
      </c>
      <c r="F757" s="1" t="s">
        <v>138</v>
      </c>
      <c r="G757" s="1" t="s">
        <v>83</v>
      </c>
    </row>
    <row r="758" spans="1:7" x14ac:dyDescent="0.3">
      <c r="A758" s="48">
        <v>46108</v>
      </c>
      <c r="B758" s="1">
        <v>2026</v>
      </c>
      <c r="C758" s="1">
        <v>3</v>
      </c>
      <c r="D758" s="1" t="s">
        <v>130</v>
      </c>
      <c r="E758" s="1">
        <v>1</v>
      </c>
      <c r="F758" s="1" t="s">
        <v>131</v>
      </c>
      <c r="G758" s="1" t="s">
        <v>83</v>
      </c>
    </row>
    <row r="759" spans="1:7" x14ac:dyDescent="0.3">
      <c r="A759" s="48">
        <v>46109</v>
      </c>
      <c r="B759" s="1">
        <v>2026</v>
      </c>
      <c r="C759" s="1">
        <v>3</v>
      </c>
      <c r="D759" s="1" t="s">
        <v>130</v>
      </c>
      <c r="E759" s="1">
        <v>1</v>
      </c>
      <c r="F759" s="1" t="s">
        <v>132</v>
      </c>
      <c r="G759" s="1" t="s">
        <v>133</v>
      </c>
    </row>
    <row r="760" spans="1:7" x14ac:dyDescent="0.3">
      <c r="A760" s="48">
        <v>46110</v>
      </c>
      <c r="B760" s="1">
        <v>2026</v>
      </c>
      <c r="C760" s="1">
        <v>3</v>
      </c>
      <c r="D760" s="1" t="s">
        <v>130</v>
      </c>
      <c r="E760" s="1">
        <v>1</v>
      </c>
      <c r="F760" s="1" t="s">
        <v>134</v>
      </c>
      <c r="G760" s="1" t="s">
        <v>133</v>
      </c>
    </row>
    <row r="761" spans="1:7" x14ac:dyDescent="0.3">
      <c r="A761" s="48">
        <v>46111</v>
      </c>
      <c r="B761" s="1">
        <v>2026</v>
      </c>
      <c r="C761" s="1">
        <v>3</v>
      </c>
      <c r="D761" s="1" t="s">
        <v>130</v>
      </c>
      <c r="E761" s="1">
        <v>1</v>
      </c>
      <c r="F761" s="1" t="s">
        <v>135</v>
      </c>
      <c r="G761" s="1" t="s">
        <v>83</v>
      </c>
    </row>
    <row r="762" spans="1:7" x14ac:dyDescent="0.3">
      <c r="A762" s="48">
        <v>46112</v>
      </c>
      <c r="B762" s="1">
        <v>2026</v>
      </c>
      <c r="C762" s="1">
        <v>3</v>
      </c>
      <c r="D762" s="1" t="s">
        <v>130</v>
      </c>
      <c r="E762" s="1">
        <v>1</v>
      </c>
      <c r="F762" s="1" t="s">
        <v>136</v>
      </c>
      <c r="G762" s="1" t="s">
        <v>83</v>
      </c>
    </row>
    <row r="763" spans="1:7" x14ac:dyDescent="0.3">
      <c r="A763" s="48">
        <v>46113</v>
      </c>
      <c r="B763" s="1">
        <v>2026</v>
      </c>
      <c r="C763" s="1">
        <v>4</v>
      </c>
      <c r="D763" s="1" t="s">
        <v>139</v>
      </c>
      <c r="E763" s="1">
        <v>2</v>
      </c>
      <c r="F763" s="1" t="s">
        <v>137</v>
      </c>
      <c r="G763" s="1" t="s">
        <v>83</v>
      </c>
    </row>
    <row r="764" spans="1:7" x14ac:dyDescent="0.3">
      <c r="A764" s="48">
        <v>46114</v>
      </c>
      <c r="B764" s="1">
        <v>2026</v>
      </c>
      <c r="C764" s="1">
        <v>4</v>
      </c>
      <c r="D764" s="1" t="s">
        <v>139</v>
      </c>
      <c r="E764" s="1">
        <v>2</v>
      </c>
      <c r="F764" s="1" t="s">
        <v>138</v>
      </c>
      <c r="G764" s="1" t="s">
        <v>83</v>
      </c>
    </row>
    <row r="765" spans="1:7" x14ac:dyDescent="0.3">
      <c r="A765" s="48">
        <v>46115</v>
      </c>
      <c r="B765" s="1">
        <v>2026</v>
      </c>
      <c r="C765" s="1">
        <v>4</v>
      </c>
      <c r="D765" s="1" t="s">
        <v>139</v>
      </c>
      <c r="E765" s="1">
        <v>2</v>
      </c>
      <c r="F765" s="1" t="s">
        <v>131</v>
      </c>
      <c r="G765" s="1" t="s">
        <v>83</v>
      </c>
    </row>
    <row r="766" spans="1:7" x14ac:dyDescent="0.3">
      <c r="A766" s="48">
        <v>46116</v>
      </c>
      <c r="B766" s="1">
        <v>2026</v>
      </c>
      <c r="C766" s="1">
        <v>4</v>
      </c>
      <c r="D766" s="1" t="s">
        <v>139</v>
      </c>
      <c r="E766" s="1">
        <v>2</v>
      </c>
      <c r="F766" s="1" t="s">
        <v>132</v>
      </c>
      <c r="G766" s="1" t="s">
        <v>133</v>
      </c>
    </row>
    <row r="767" spans="1:7" x14ac:dyDescent="0.3">
      <c r="A767" s="48">
        <v>46117</v>
      </c>
      <c r="B767" s="1">
        <v>2026</v>
      </c>
      <c r="C767" s="1">
        <v>4</v>
      </c>
      <c r="D767" s="1" t="s">
        <v>139</v>
      </c>
      <c r="E767" s="1">
        <v>2</v>
      </c>
      <c r="F767" s="1" t="s">
        <v>134</v>
      </c>
      <c r="G767" s="1" t="s">
        <v>133</v>
      </c>
    </row>
    <row r="768" spans="1:7" x14ac:dyDescent="0.3">
      <c r="A768" s="48">
        <v>46118</v>
      </c>
      <c r="B768" s="1">
        <v>2026</v>
      </c>
      <c r="C768" s="1">
        <v>4</v>
      </c>
      <c r="D768" s="1" t="s">
        <v>139</v>
      </c>
      <c r="E768" s="1">
        <v>2</v>
      </c>
      <c r="F768" s="1" t="s">
        <v>135</v>
      </c>
      <c r="G768" s="1" t="s">
        <v>83</v>
      </c>
    </row>
    <row r="769" spans="1:7" x14ac:dyDescent="0.3">
      <c r="A769" s="48">
        <v>46119</v>
      </c>
      <c r="B769" s="1">
        <v>2026</v>
      </c>
      <c r="C769" s="1">
        <v>4</v>
      </c>
      <c r="D769" s="1" t="s">
        <v>139</v>
      </c>
      <c r="E769" s="1">
        <v>2</v>
      </c>
      <c r="F769" s="1" t="s">
        <v>136</v>
      </c>
      <c r="G769" s="1" t="s">
        <v>83</v>
      </c>
    </row>
    <row r="770" spans="1:7" x14ac:dyDescent="0.3">
      <c r="A770" s="48">
        <v>46120</v>
      </c>
      <c r="B770" s="1">
        <v>2026</v>
      </c>
      <c r="C770" s="1">
        <v>4</v>
      </c>
      <c r="D770" s="1" t="s">
        <v>139</v>
      </c>
      <c r="E770" s="1">
        <v>2</v>
      </c>
      <c r="F770" s="1" t="s">
        <v>137</v>
      </c>
      <c r="G770" s="1" t="s">
        <v>83</v>
      </c>
    </row>
    <row r="771" spans="1:7" x14ac:dyDescent="0.3">
      <c r="A771" s="48">
        <v>46121</v>
      </c>
      <c r="B771" s="1">
        <v>2026</v>
      </c>
      <c r="C771" s="1">
        <v>4</v>
      </c>
      <c r="D771" s="1" t="s">
        <v>139</v>
      </c>
      <c r="E771" s="1">
        <v>2</v>
      </c>
      <c r="F771" s="1" t="s">
        <v>138</v>
      </c>
      <c r="G771" s="1" t="s">
        <v>83</v>
      </c>
    </row>
    <row r="772" spans="1:7" x14ac:dyDescent="0.3">
      <c r="A772" s="48">
        <v>46122</v>
      </c>
      <c r="B772" s="1">
        <v>2026</v>
      </c>
      <c r="C772" s="1">
        <v>4</v>
      </c>
      <c r="D772" s="1" t="s">
        <v>139</v>
      </c>
      <c r="E772" s="1">
        <v>2</v>
      </c>
      <c r="F772" s="1" t="s">
        <v>131</v>
      </c>
      <c r="G772" s="1" t="s">
        <v>83</v>
      </c>
    </row>
    <row r="773" spans="1:7" x14ac:dyDescent="0.3">
      <c r="A773" s="48">
        <v>46123</v>
      </c>
      <c r="B773" s="1">
        <v>2026</v>
      </c>
      <c r="C773" s="1">
        <v>4</v>
      </c>
      <c r="D773" s="1" t="s">
        <v>139</v>
      </c>
      <c r="E773" s="1">
        <v>2</v>
      </c>
      <c r="F773" s="1" t="s">
        <v>132</v>
      </c>
      <c r="G773" s="1" t="s">
        <v>133</v>
      </c>
    </row>
    <row r="774" spans="1:7" x14ac:dyDescent="0.3">
      <c r="A774" s="48">
        <v>46124</v>
      </c>
      <c r="B774" s="1">
        <v>2026</v>
      </c>
      <c r="C774" s="1">
        <v>4</v>
      </c>
      <c r="D774" s="1" t="s">
        <v>139</v>
      </c>
      <c r="E774" s="1">
        <v>2</v>
      </c>
      <c r="F774" s="1" t="s">
        <v>134</v>
      </c>
      <c r="G774" s="1" t="s">
        <v>133</v>
      </c>
    </row>
    <row r="775" spans="1:7" x14ac:dyDescent="0.3">
      <c r="A775" s="48">
        <v>46125</v>
      </c>
      <c r="B775" s="1">
        <v>2026</v>
      </c>
      <c r="C775" s="1">
        <v>4</v>
      </c>
      <c r="D775" s="1" t="s">
        <v>139</v>
      </c>
      <c r="E775" s="1">
        <v>2</v>
      </c>
      <c r="F775" s="1" t="s">
        <v>135</v>
      </c>
      <c r="G775" s="1" t="s">
        <v>83</v>
      </c>
    </row>
    <row r="776" spans="1:7" x14ac:dyDescent="0.3">
      <c r="A776" s="48">
        <v>46126</v>
      </c>
      <c r="B776" s="1">
        <v>2026</v>
      </c>
      <c r="C776" s="1">
        <v>4</v>
      </c>
      <c r="D776" s="1" t="s">
        <v>139</v>
      </c>
      <c r="E776" s="1">
        <v>2</v>
      </c>
      <c r="F776" s="1" t="s">
        <v>136</v>
      </c>
      <c r="G776" s="1" t="s">
        <v>83</v>
      </c>
    </row>
    <row r="777" spans="1:7" x14ac:dyDescent="0.3">
      <c r="A777" s="48">
        <v>46127</v>
      </c>
      <c r="B777" s="1">
        <v>2026</v>
      </c>
      <c r="C777" s="1">
        <v>4</v>
      </c>
      <c r="D777" s="1" t="s">
        <v>139</v>
      </c>
      <c r="E777" s="1">
        <v>2</v>
      </c>
      <c r="F777" s="1" t="s">
        <v>137</v>
      </c>
      <c r="G777" s="1" t="s">
        <v>83</v>
      </c>
    </row>
    <row r="778" spans="1:7" x14ac:dyDescent="0.3">
      <c r="A778" s="48">
        <v>46128</v>
      </c>
      <c r="B778" s="1">
        <v>2026</v>
      </c>
      <c r="C778" s="1">
        <v>4</v>
      </c>
      <c r="D778" s="1" t="s">
        <v>139</v>
      </c>
      <c r="E778" s="1">
        <v>2</v>
      </c>
      <c r="F778" s="1" t="s">
        <v>138</v>
      </c>
      <c r="G778" s="1" t="s">
        <v>83</v>
      </c>
    </row>
    <row r="779" spans="1:7" x14ac:dyDescent="0.3">
      <c r="A779" s="48">
        <v>46129</v>
      </c>
      <c r="B779" s="1">
        <v>2026</v>
      </c>
      <c r="C779" s="1">
        <v>4</v>
      </c>
      <c r="D779" s="1" t="s">
        <v>139</v>
      </c>
      <c r="E779" s="1">
        <v>2</v>
      </c>
      <c r="F779" s="1" t="s">
        <v>131</v>
      </c>
      <c r="G779" s="1" t="s">
        <v>83</v>
      </c>
    </row>
    <row r="780" spans="1:7" x14ac:dyDescent="0.3">
      <c r="A780" s="48">
        <v>46130</v>
      </c>
      <c r="B780" s="1">
        <v>2026</v>
      </c>
      <c r="C780" s="1">
        <v>4</v>
      </c>
      <c r="D780" s="1" t="s">
        <v>139</v>
      </c>
      <c r="E780" s="1">
        <v>2</v>
      </c>
      <c r="F780" s="1" t="s">
        <v>132</v>
      </c>
      <c r="G780" s="1" t="s">
        <v>133</v>
      </c>
    </row>
    <row r="781" spans="1:7" x14ac:dyDescent="0.3">
      <c r="A781" s="48">
        <v>46131</v>
      </c>
      <c r="B781" s="1">
        <v>2026</v>
      </c>
      <c r="C781" s="1">
        <v>4</v>
      </c>
      <c r="D781" s="1" t="s">
        <v>139</v>
      </c>
      <c r="E781" s="1">
        <v>2</v>
      </c>
      <c r="F781" s="1" t="s">
        <v>134</v>
      </c>
      <c r="G781" s="1" t="s">
        <v>133</v>
      </c>
    </row>
    <row r="782" spans="1:7" x14ac:dyDescent="0.3">
      <c r="A782" s="48">
        <v>46132</v>
      </c>
      <c r="B782" s="1">
        <v>2026</v>
      </c>
      <c r="C782" s="1">
        <v>4</v>
      </c>
      <c r="D782" s="1" t="s">
        <v>139</v>
      </c>
      <c r="E782" s="1">
        <v>2</v>
      </c>
      <c r="F782" s="1" t="s">
        <v>135</v>
      </c>
      <c r="G782" s="1" t="s">
        <v>83</v>
      </c>
    </row>
    <row r="783" spans="1:7" x14ac:dyDescent="0.3">
      <c r="A783" s="48">
        <v>46133</v>
      </c>
      <c r="B783" s="1">
        <v>2026</v>
      </c>
      <c r="C783" s="1">
        <v>4</v>
      </c>
      <c r="D783" s="1" t="s">
        <v>139</v>
      </c>
      <c r="E783" s="1">
        <v>2</v>
      </c>
      <c r="F783" s="1" t="s">
        <v>136</v>
      </c>
      <c r="G783" s="1" t="s">
        <v>83</v>
      </c>
    </row>
    <row r="784" spans="1:7" x14ac:dyDescent="0.3">
      <c r="A784" s="48">
        <v>46134</v>
      </c>
      <c r="B784" s="1">
        <v>2026</v>
      </c>
      <c r="C784" s="1">
        <v>4</v>
      </c>
      <c r="D784" s="1" t="s">
        <v>139</v>
      </c>
      <c r="E784" s="1">
        <v>2</v>
      </c>
      <c r="F784" s="1" t="s">
        <v>137</v>
      </c>
      <c r="G784" s="1" t="s">
        <v>83</v>
      </c>
    </row>
    <row r="785" spans="1:7" x14ac:dyDescent="0.3">
      <c r="A785" s="48">
        <v>46135</v>
      </c>
      <c r="B785" s="1">
        <v>2026</v>
      </c>
      <c r="C785" s="1">
        <v>4</v>
      </c>
      <c r="D785" s="1" t="s">
        <v>139</v>
      </c>
      <c r="E785" s="1">
        <v>2</v>
      </c>
      <c r="F785" s="1" t="s">
        <v>138</v>
      </c>
      <c r="G785" s="1" t="s">
        <v>83</v>
      </c>
    </row>
    <row r="786" spans="1:7" x14ac:dyDescent="0.3">
      <c r="A786" s="48">
        <v>46136</v>
      </c>
      <c r="B786" s="1">
        <v>2026</v>
      </c>
      <c r="C786" s="1">
        <v>4</v>
      </c>
      <c r="D786" s="1" t="s">
        <v>139</v>
      </c>
      <c r="E786" s="1">
        <v>2</v>
      </c>
      <c r="F786" s="1" t="s">
        <v>131</v>
      </c>
      <c r="G786" s="1" t="s">
        <v>83</v>
      </c>
    </row>
    <row r="787" spans="1:7" x14ac:dyDescent="0.3">
      <c r="A787" s="48">
        <v>46137</v>
      </c>
      <c r="B787" s="1">
        <v>2026</v>
      </c>
      <c r="C787" s="1">
        <v>4</v>
      </c>
      <c r="D787" s="1" t="s">
        <v>139</v>
      </c>
      <c r="E787" s="1">
        <v>2</v>
      </c>
      <c r="F787" s="1" t="s">
        <v>132</v>
      </c>
      <c r="G787" s="1" t="s">
        <v>133</v>
      </c>
    </row>
    <row r="788" spans="1:7" x14ac:dyDescent="0.3">
      <c r="A788" s="48">
        <v>46138</v>
      </c>
      <c r="B788" s="1">
        <v>2026</v>
      </c>
      <c r="C788" s="1">
        <v>4</v>
      </c>
      <c r="D788" s="1" t="s">
        <v>139</v>
      </c>
      <c r="E788" s="1">
        <v>2</v>
      </c>
      <c r="F788" s="1" t="s">
        <v>134</v>
      </c>
      <c r="G788" s="1" t="s">
        <v>133</v>
      </c>
    </row>
    <row r="789" spans="1:7" x14ac:dyDescent="0.3">
      <c r="A789" s="48">
        <v>46139</v>
      </c>
      <c r="B789" s="1">
        <v>2026</v>
      </c>
      <c r="C789" s="1">
        <v>4</v>
      </c>
      <c r="D789" s="1" t="s">
        <v>139</v>
      </c>
      <c r="E789" s="1">
        <v>2</v>
      </c>
      <c r="F789" s="1" t="s">
        <v>135</v>
      </c>
      <c r="G789" s="1" t="s">
        <v>83</v>
      </c>
    </row>
    <row r="790" spans="1:7" x14ac:dyDescent="0.3">
      <c r="A790" s="48">
        <v>46140</v>
      </c>
      <c r="B790" s="1">
        <v>2026</v>
      </c>
      <c r="C790" s="1">
        <v>4</v>
      </c>
      <c r="D790" s="1" t="s">
        <v>139</v>
      </c>
      <c r="E790" s="1">
        <v>2</v>
      </c>
      <c r="F790" s="1" t="s">
        <v>136</v>
      </c>
      <c r="G790" s="1" t="s">
        <v>83</v>
      </c>
    </row>
    <row r="791" spans="1:7" x14ac:dyDescent="0.3">
      <c r="A791" s="48">
        <v>46141</v>
      </c>
      <c r="B791" s="1">
        <v>2026</v>
      </c>
      <c r="C791" s="1">
        <v>4</v>
      </c>
      <c r="D791" s="1" t="s">
        <v>139</v>
      </c>
      <c r="E791" s="1">
        <v>2</v>
      </c>
      <c r="F791" s="1" t="s">
        <v>137</v>
      </c>
      <c r="G791" s="1" t="s">
        <v>83</v>
      </c>
    </row>
    <row r="792" spans="1:7" x14ac:dyDescent="0.3">
      <c r="A792" s="48">
        <v>46142</v>
      </c>
      <c r="B792" s="1">
        <v>2026</v>
      </c>
      <c r="C792" s="1">
        <v>4</v>
      </c>
      <c r="D792" s="1" t="s">
        <v>139</v>
      </c>
      <c r="E792" s="1">
        <v>2</v>
      </c>
      <c r="F792" s="1" t="s">
        <v>138</v>
      </c>
      <c r="G792" s="1" t="s">
        <v>83</v>
      </c>
    </row>
    <row r="793" spans="1:7" x14ac:dyDescent="0.3">
      <c r="A793" s="48">
        <v>46143</v>
      </c>
      <c r="B793" s="1">
        <v>2026</v>
      </c>
      <c r="C793" s="1">
        <v>5</v>
      </c>
      <c r="D793" s="1" t="s">
        <v>140</v>
      </c>
      <c r="E793" s="1">
        <v>2</v>
      </c>
      <c r="F793" s="1" t="s">
        <v>131</v>
      </c>
      <c r="G793" s="1" t="s">
        <v>83</v>
      </c>
    </row>
    <row r="794" spans="1:7" x14ac:dyDescent="0.3">
      <c r="A794" s="48">
        <v>46144</v>
      </c>
      <c r="B794" s="1">
        <v>2026</v>
      </c>
      <c r="C794" s="1">
        <v>5</v>
      </c>
      <c r="D794" s="1" t="s">
        <v>140</v>
      </c>
      <c r="E794" s="1">
        <v>2</v>
      </c>
      <c r="F794" s="1" t="s">
        <v>132</v>
      </c>
      <c r="G794" s="1" t="s">
        <v>133</v>
      </c>
    </row>
    <row r="795" spans="1:7" x14ac:dyDescent="0.3">
      <c r="A795" s="48">
        <v>46145</v>
      </c>
      <c r="B795" s="1">
        <v>2026</v>
      </c>
      <c r="C795" s="1">
        <v>5</v>
      </c>
      <c r="D795" s="1" t="s">
        <v>140</v>
      </c>
      <c r="E795" s="1">
        <v>2</v>
      </c>
      <c r="F795" s="1" t="s">
        <v>134</v>
      </c>
      <c r="G795" s="1" t="s">
        <v>133</v>
      </c>
    </row>
    <row r="796" spans="1:7" x14ac:dyDescent="0.3">
      <c r="A796" s="48">
        <v>46146</v>
      </c>
      <c r="B796" s="1">
        <v>2026</v>
      </c>
      <c r="C796" s="1">
        <v>5</v>
      </c>
      <c r="D796" s="1" t="s">
        <v>140</v>
      </c>
      <c r="E796" s="1">
        <v>2</v>
      </c>
      <c r="F796" s="1" t="s">
        <v>135</v>
      </c>
      <c r="G796" s="1" t="s">
        <v>83</v>
      </c>
    </row>
    <row r="797" spans="1:7" x14ac:dyDescent="0.3">
      <c r="A797" s="48">
        <v>46147</v>
      </c>
      <c r="B797" s="1">
        <v>2026</v>
      </c>
      <c r="C797" s="1">
        <v>5</v>
      </c>
      <c r="D797" s="1" t="s">
        <v>140</v>
      </c>
      <c r="E797" s="1">
        <v>2</v>
      </c>
      <c r="F797" s="1" t="s">
        <v>136</v>
      </c>
      <c r="G797" s="1" t="s">
        <v>83</v>
      </c>
    </row>
    <row r="798" spans="1:7" x14ac:dyDescent="0.3">
      <c r="A798" s="48">
        <v>46148</v>
      </c>
      <c r="B798" s="1">
        <v>2026</v>
      </c>
      <c r="C798" s="1">
        <v>5</v>
      </c>
      <c r="D798" s="1" t="s">
        <v>140</v>
      </c>
      <c r="E798" s="1">
        <v>2</v>
      </c>
      <c r="F798" s="1" t="s">
        <v>137</v>
      </c>
      <c r="G798" s="1" t="s">
        <v>83</v>
      </c>
    </row>
    <row r="799" spans="1:7" x14ac:dyDescent="0.3">
      <c r="A799" s="48">
        <v>46149</v>
      </c>
      <c r="B799" s="1">
        <v>2026</v>
      </c>
      <c r="C799" s="1">
        <v>5</v>
      </c>
      <c r="D799" s="1" t="s">
        <v>140</v>
      </c>
      <c r="E799" s="1">
        <v>2</v>
      </c>
      <c r="F799" s="1" t="s">
        <v>138</v>
      </c>
      <c r="G799" s="1" t="s">
        <v>83</v>
      </c>
    </row>
    <row r="800" spans="1:7" x14ac:dyDescent="0.3">
      <c r="A800" s="48">
        <v>46150</v>
      </c>
      <c r="B800" s="1">
        <v>2026</v>
      </c>
      <c r="C800" s="1">
        <v>5</v>
      </c>
      <c r="D800" s="1" t="s">
        <v>140</v>
      </c>
      <c r="E800" s="1">
        <v>2</v>
      </c>
      <c r="F800" s="1" t="s">
        <v>131</v>
      </c>
      <c r="G800" s="1" t="s">
        <v>83</v>
      </c>
    </row>
    <row r="801" spans="1:7" x14ac:dyDescent="0.3">
      <c r="A801" s="48">
        <v>46151</v>
      </c>
      <c r="B801" s="1">
        <v>2026</v>
      </c>
      <c r="C801" s="1">
        <v>5</v>
      </c>
      <c r="D801" s="1" t="s">
        <v>140</v>
      </c>
      <c r="E801" s="1">
        <v>2</v>
      </c>
      <c r="F801" s="1" t="s">
        <v>132</v>
      </c>
      <c r="G801" s="1" t="s">
        <v>133</v>
      </c>
    </row>
    <row r="802" spans="1:7" x14ac:dyDescent="0.3">
      <c r="A802" s="48">
        <v>46152</v>
      </c>
      <c r="B802" s="1">
        <v>2026</v>
      </c>
      <c r="C802" s="1">
        <v>5</v>
      </c>
      <c r="D802" s="1" t="s">
        <v>140</v>
      </c>
      <c r="E802" s="1">
        <v>2</v>
      </c>
      <c r="F802" s="1" t="s">
        <v>134</v>
      </c>
      <c r="G802" s="1" t="s">
        <v>133</v>
      </c>
    </row>
    <row r="803" spans="1:7" x14ac:dyDescent="0.3">
      <c r="A803" s="48">
        <v>46153</v>
      </c>
      <c r="B803" s="1">
        <v>2026</v>
      </c>
      <c r="C803" s="1">
        <v>5</v>
      </c>
      <c r="D803" s="1" t="s">
        <v>140</v>
      </c>
      <c r="E803" s="1">
        <v>2</v>
      </c>
      <c r="F803" s="1" t="s">
        <v>135</v>
      </c>
      <c r="G803" s="1" t="s">
        <v>83</v>
      </c>
    </row>
    <row r="804" spans="1:7" x14ac:dyDescent="0.3">
      <c r="A804" s="48">
        <v>46154</v>
      </c>
      <c r="B804" s="1">
        <v>2026</v>
      </c>
      <c r="C804" s="1">
        <v>5</v>
      </c>
      <c r="D804" s="1" t="s">
        <v>140</v>
      </c>
      <c r="E804" s="1">
        <v>2</v>
      </c>
      <c r="F804" s="1" t="s">
        <v>136</v>
      </c>
      <c r="G804" s="1" t="s">
        <v>83</v>
      </c>
    </row>
    <row r="805" spans="1:7" x14ac:dyDescent="0.3">
      <c r="A805" s="48">
        <v>46155</v>
      </c>
      <c r="B805" s="1">
        <v>2026</v>
      </c>
      <c r="C805" s="1">
        <v>5</v>
      </c>
      <c r="D805" s="1" t="s">
        <v>140</v>
      </c>
      <c r="E805" s="1">
        <v>2</v>
      </c>
      <c r="F805" s="1" t="s">
        <v>137</v>
      </c>
      <c r="G805" s="1" t="s">
        <v>83</v>
      </c>
    </row>
    <row r="806" spans="1:7" x14ac:dyDescent="0.3">
      <c r="A806" s="48">
        <v>46156</v>
      </c>
      <c r="B806" s="1">
        <v>2026</v>
      </c>
      <c r="C806" s="1">
        <v>5</v>
      </c>
      <c r="D806" s="1" t="s">
        <v>140</v>
      </c>
      <c r="E806" s="1">
        <v>2</v>
      </c>
      <c r="F806" s="1" t="s">
        <v>138</v>
      </c>
      <c r="G806" s="1" t="s">
        <v>83</v>
      </c>
    </row>
    <row r="807" spans="1:7" x14ac:dyDescent="0.3">
      <c r="A807" s="48">
        <v>46157</v>
      </c>
      <c r="B807" s="1">
        <v>2026</v>
      </c>
      <c r="C807" s="1">
        <v>5</v>
      </c>
      <c r="D807" s="1" t="s">
        <v>140</v>
      </c>
      <c r="E807" s="1">
        <v>2</v>
      </c>
      <c r="F807" s="1" t="s">
        <v>131</v>
      </c>
      <c r="G807" s="1" t="s">
        <v>83</v>
      </c>
    </row>
    <row r="808" spans="1:7" x14ac:dyDescent="0.3">
      <c r="A808" s="48">
        <v>46158</v>
      </c>
      <c r="B808" s="1">
        <v>2026</v>
      </c>
      <c r="C808" s="1">
        <v>5</v>
      </c>
      <c r="D808" s="1" t="s">
        <v>140</v>
      </c>
      <c r="E808" s="1">
        <v>2</v>
      </c>
      <c r="F808" s="1" t="s">
        <v>132</v>
      </c>
      <c r="G808" s="1" t="s">
        <v>133</v>
      </c>
    </row>
    <row r="809" spans="1:7" x14ac:dyDescent="0.3">
      <c r="A809" s="48">
        <v>46159</v>
      </c>
      <c r="B809" s="1">
        <v>2026</v>
      </c>
      <c r="C809" s="1">
        <v>5</v>
      </c>
      <c r="D809" s="1" t="s">
        <v>140</v>
      </c>
      <c r="E809" s="1">
        <v>2</v>
      </c>
      <c r="F809" s="1" t="s">
        <v>134</v>
      </c>
      <c r="G809" s="1" t="s">
        <v>133</v>
      </c>
    </row>
    <row r="810" spans="1:7" x14ac:dyDescent="0.3">
      <c r="A810" s="48">
        <v>46160</v>
      </c>
      <c r="B810" s="1">
        <v>2026</v>
      </c>
      <c r="C810" s="1">
        <v>5</v>
      </c>
      <c r="D810" s="1" t="s">
        <v>140</v>
      </c>
      <c r="E810" s="1">
        <v>2</v>
      </c>
      <c r="F810" s="1" t="s">
        <v>135</v>
      </c>
      <c r="G810" s="1" t="s">
        <v>83</v>
      </c>
    </row>
    <row r="811" spans="1:7" x14ac:dyDescent="0.3">
      <c r="A811" s="48">
        <v>46161</v>
      </c>
      <c r="B811" s="1">
        <v>2026</v>
      </c>
      <c r="C811" s="1">
        <v>5</v>
      </c>
      <c r="D811" s="1" t="s">
        <v>140</v>
      </c>
      <c r="E811" s="1">
        <v>2</v>
      </c>
      <c r="F811" s="1" t="s">
        <v>136</v>
      </c>
      <c r="G811" s="1" t="s">
        <v>83</v>
      </c>
    </row>
    <row r="812" spans="1:7" x14ac:dyDescent="0.3">
      <c r="A812" s="48">
        <v>46162</v>
      </c>
      <c r="B812" s="1">
        <v>2026</v>
      </c>
      <c r="C812" s="1">
        <v>5</v>
      </c>
      <c r="D812" s="1" t="s">
        <v>140</v>
      </c>
      <c r="E812" s="1">
        <v>2</v>
      </c>
      <c r="F812" s="1" t="s">
        <v>137</v>
      </c>
      <c r="G812" s="1" t="s">
        <v>83</v>
      </c>
    </row>
    <row r="813" spans="1:7" x14ac:dyDescent="0.3">
      <c r="A813" s="48">
        <v>46163</v>
      </c>
      <c r="B813" s="1">
        <v>2026</v>
      </c>
      <c r="C813" s="1">
        <v>5</v>
      </c>
      <c r="D813" s="1" t="s">
        <v>140</v>
      </c>
      <c r="E813" s="1">
        <v>2</v>
      </c>
      <c r="F813" s="1" t="s">
        <v>138</v>
      </c>
      <c r="G813" s="1" t="s">
        <v>83</v>
      </c>
    </row>
    <row r="814" spans="1:7" x14ac:dyDescent="0.3">
      <c r="A814" s="48">
        <v>46164</v>
      </c>
      <c r="B814" s="1">
        <v>2026</v>
      </c>
      <c r="C814" s="1">
        <v>5</v>
      </c>
      <c r="D814" s="1" t="s">
        <v>140</v>
      </c>
      <c r="E814" s="1">
        <v>2</v>
      </c>
      <c r="F814" s="1" t="s">
        <v>131</v>
      </c>
      <c r="G814" s="1" t="s">
        <v>83</v>
      </c>
    </row>
    <row r="815" spans="1:7" x14ac:dyDescent="0.3">
      <c r="A815" s="48">
        <v>46165</v>
      </c>
      <c r="B815" s="1">
        <v>2026</v>
      </c>
      <c r="C815" s="1">
        <v>5</v>
      </c>
      <c r="D815" s="1" t="s">
        <v>140</v>
      </c>
      <c r="E815" s="1">
        <v>2</v>
      </c>
      <c r="F815" s="1" t="s">
        <v>132</v>
      </c>
      <c r="G815" s="1" t="s">
        <v>133</v>
      </c>
    </row>
    <row r="816" spans="1:7" x14ac:dyDescent="0.3">
      <c r="A816" s="48">
        <v>46166</v>
      </c>
      <c r="B816" s="1">
        <v>2026</v>
      </c>
      <c r="C816" s="1">
        <v>5</v>
      </c>
      <c r="D816" s="1" t="s">
        <v>140</v>
      </c>
      <c r="E816" s="1">
        <v>2</v>
      </c>
      <c r="F816" s="1" t="s">
        <v>134</v>
      </c>
      <c r="G816" s="1" t="s">
        <v>133</v>
      </c>
    </row>
    <row r="817" spans="1:7" x14ac:dyDescent="0.3">
      <c r="A817" s="48">
        <v>46167</v>
      </c>
      <c r="B817" s="1">
        <v>2026</v>
      </c>
      <c r="C817" s="1">
        <v>5</v>
      </c>
      <c r="D817" s="1" t="s">
        <v>140</v>
      </c>
      <c r="E817" s="1">
        <v>2</v>
      </c>
      <c r="F817" s="1" t="s">
        <v>135</v>
      </c>
      <c r="G817" s="1" t="s">
        <v>83</v>
      </c>
    </row>
    <row r="818" spans="1:7" x14ac:dyDescent="0.3">
      <c r="A818" s="48">
        <v>46168</v>
      </c>
      <c r="B818" s="1">
        <v>2026</v>
      </c>
      <c r="C818" s="1">
        <v>5</v>
      </c>
      <c r="D818" s="1" t="s">
        <v>140</v>
      </c>
      <c r="E818" s="1">
        <v>2</v>
      </c>
      <c r="F818" s="1" t="s">
        <v>136</v>
      </c>
      <c r="G818" s="1" t="s">
        <v>83</v>
      </c>
    </row>
    <row r="819" spans="1:7" x14ac:dyDescent="0.3">
      <c r="A819" s="48">
        <v>46169</v>
      </c>
      <c r="B819" s="1">
        <v>2026</v>
      </c>
      <c r="C819" s="1">
        <v>5</v>
      </c>
      <c r="D819" s="1" t="s">
        <v>140</v>
      </c>
      <c r="E819" s="1">
        <v>2</v>
      </c>
      <c r="F819" s="1" t="s">
        <v>137</v>
      </c>
      <c r="G819" s="1" t="s">
        <v>83</v>
      </c>
    </row>
    <row r="820" spans="1:7" x14ac:dyDescent="0.3">
      <c r="A820" s="48">
        <v>46170</v>
      </c>
      <c r="B820" s="1">
        <v>2026</v>
      </c>
      <c r="C820" s="1">
        <v>5</v>
      </c>
      <c r="D820" s="1" t="s">
        <v>140</v>
      </c>
      <c r="E820" s="1">
        <v>2</v>
      </c>
      <c r="F820" s="1" t="s">
        <v>138</v>
      </c>
      <c r="G820" s="1" t="s">
        <v>83</v>
      </c>
    </row>
    <row r="821" spans="1:7" x14ac:dyDescent="0.3">
      <c r="A821" s="48">
        <v>46171</v>
      </c>
      <c r="B821" s="1">
        <v>2026</v>
      </c>
      <c r="C821" s="1">
        <v>5</v>
      </c>
      <c r="D821" s="1" t="s">
        <v>140</v>
      </c>
      <c r="E821" s="1">
        <v>2</v>
      </c>
      <c r="F821" s="1" t="s">
        <v>131</v>
      </c>
      <c r="G821" s="1" t="s">
        <v>83</v>
      </c>
    </row>
    <row r="822" spans="1:7" x14ac:dyDescent="0.3">
      <c r="A822" s="48">
        <v>46172</v>
      </c>
      <c r="B822" s="1">
        <v>2026</v>
      </c>
      <c r="C822" s="1">
        <v>5</v>
      </c>
      <c r="D822" s="1" t="s">
        <v>140</v>
      </c>
      <c r="E822" s="1">
        <v>2</v>
      </c>
      <c r="F822" s="1" t="s">
        <v>132</v>
      </c>
      <c r="G822" s="1" t="s">
        <v>133</v>
      </c>
    </row>
    <row r="823" spans="1:7" x14ac:dyDescent="0.3">
      <c r="A823" s="48">
        <v>46173</v>
      </c>
      <c r="B823" s="1">
        <v>2026</v>
      </c>
      <c r="C823" s="1">
        <v>5</v>
      </c>
      <c r="D823" s="1" t="s">
        <v>140</v>
      </c>
      <c r="E823" s="1">
        <v>2</v>
      </c>
      <c r="F823" s="1" t="s">
        <v>134</v>
      </c>
      <c r="G823" s="1" t="s">
        <v>133</v>
      </c>
    </row>
    <row r="824" spans="1:7" x14ac:dyDescent="0.3">
      <c r="A824" s="48">
        <v>46174</v>
      </c>
      <c r="B824" s="1">
        <v>2026</v>
      </c>
      <c r="C824" s="1">
        <v>6</v>
      </c>
      <c r="D824" s="1" t="s">
        <v>141</v>
      </c>
      <c r="E824" s="1">
        <v>2</v>
      </c>
      <c r="F824" s="1" t="s">
        <v>135</v>
      </c>
      <c r="G824" s="1" t="s">
        <v>83</v>
      </c>
    </row>
    <row r="825" spans="1:7" x14ac:dyDescent="0.3">
      <c r="A825" s="48">
        <v>46175</v>
      </c>
      <c r="B825" s="1">
        <v>2026</v>
      </c>
      <c r="C825" s="1">
        <v>6</v>
      </c>
      <c r="D825" s="1" t="s">
        <v>141</v>
      </c>
      <c r="E825" s="1">
        <v>2</v>
      </c>
      <c r="F825" s="1" t="s">
        <v>136</v>
      </c>
      <c r="G825" s="1" t="s">
        <v>83</v>
      </c>
    </row>
    <row r="826" spans="1:7" x14ac:dyDescent="0.3">
      <c r="A826" s="48">
        <v>46176</v>
      </c>
      <c r="B826" s="1">
        <v>2026</v>
      </c>
      <c r="C826" s="1">
        <v>6</v>
      </c>
      <c r="D826" s="1" t="s">
        <v>141</v>
      </c>
      <c r="E826" s="1">
        <v>2</v>
      </c>
      <c r="F826" s="1" t="s">
        <v>137</v>
      </c>
      <c r="G826" s="1" t="s">
        <v>83</v>
      </c>
    </row>
    <row r="827" spans="1:7" x14ac:dyDescent="0.3">
      <c r="A827" s="48">
        <v>46177</v>
      </c>
      <c r="B827" s="1">
        <v>2026</v>
      </c>
      <c r="C827" s="1">
        <v>6</v>
      </c>
      <c r="D827" s="1" t="s">
        <v>141</v>
      </c>
      <c r="E827" s="1">
        <v>2</v>
      </c>
      <c r="F827" s="1" t="s">
        <v>138</v>
      </c>
      <c r="G827" s="1" t="s">
        <v>83</v>
      </c>
    </row>
    <row r="828" spans="1:7" x14ac:dyDescent="0.3">
      <c r="A828" s="48">
        <v>46178</v>
      </c>
      <c r="B828" s="1">
        <v>2026</v>
      </c>
      <c r="C828" s="1">
        <v>6</v>
      </c>
      <c r="D828" s="1" t="s">
        <v>141</v>
      </c>
      <c r="E828" s="1">
        <v>2</v>
      </c>
      <c r="F828" s="1" t="s">
        <v>131</v>
      </c>
      <c r="G828" s="1" t="s">
        <v>83</v>
      </c>
    </row>
    <row r="829" spans="1:7" x14ac:dyDescent="0.3">
      <c r="A829" s="48">
        <v>46179</v>
      </c>
      <c r="B829" s="1">
        <v>2026</v>
      </c>
      <c r="C829" s="1">
        <v>6</v>
      </c>
      <c r="D829" s="1" t="s">
        <v>141</v>
      </c>
      <c r="E829" s="1">
        <v>2</v>
      </c>
      <c r="F829" s="1" t="s">
        <v>132</v>
      </c>
      <c r="G829" s="1" t="s">
        <v>133</v>
      </c>
    </row>
    <row r="830" spans="1:7" x14ac:dyDescent="0.3">
      <c r="A830" s="48">
        <v>46180</v>
      </c>
      <c r="B830" s="1">
        <v>2026</v>
      </c>
      <c r="C830" s="1">
        <v>6</v>
      </c>
      <c r="D830" s="1" t="s">
        <v>141</v>
      </c>
      <c r="E830" s="1">
        <v>2</v>
      </c>
      <c r="F830" s="1" t="s">
        <v>134</v>
      </c>
      <c r="G830" s="1" t="s">
        <v>133</v>
      </c>
    </row>
    <row r="831" spans="1:7" x14ac:dyDescent="0.3">
      <c r="A831" s="48">
        <v>46181</v>
      </c>
      <c r="B831" s="1">
        <v>2026</v>
      </c>
      <c r="C831" s="1">
        <v>6</v>
      </c>
      <c r="D831" s="1" t="s">
        <v>141</v>
      </c>
      <c r="E831" s="1">
        <v>2</v>
      </c>
      <c r="F831" s="1" t="s">
        <v>135</v>
      </c>
      <c r="G831" s="1" t="s">
        <v>83</v>
      </c>
    </row>
    <row r="832" spans="1:7" x14ac:dyDescent="0.3">
      <c r="A832" s="48">
        <v>46182</v>
      </c>
      <c r="B832" s="1">
        <v>2026</v>
      </c>
      <c r="C832" s="1">
        <v>6</v>
      </c>
      <c r="D832" s="1" t="s">
        <v>141</v>
      </c>
      <c r="E832" s="1">
        <v>2</v>
      </c>
      <c r="F832" s="1" t="s">
        <v>136</v>
      </c>
      <c r="G832" s="1" t="s">
        <v>83</v>
      </c>
    </row>
    <row r="833" spans="1:7" x14ac:dyDescent="0.3">
      <c r="A833" s="48">
        <v>46183</v>
      </c>
      <c r="B833" s="1">
        <v>2026</v>
      </c>
      <c r="C833" s="1">
        <v>6</v>
      </c>
      <c r="D833" s="1" t="s">
        <v>141</v>
      </c>
      <c r="E833" s="1">
        <v>2</v>
      </c>
      <c r="F833" s="1" t="s">
        <v>137</v>
      </c>
      <c r="G833" s="1" t="s">
        <v>83</v>
      </c>
    </row>
    <row r="834" spans="1:7" x14ac:dyDescent="0.3">
      <c r="A834" s="48">
        <v>46184</v>
      </c>
      <c r="B834" s="1">
        <v>2026</v>
      </c>
      <c r="C834" s="1">
        <v>6</v>
      </c>
      <c r="D834" s="1" t="s">
        <v>141</v>
      </c>
      <c r="E834" s="1">
        <v>2</v>
      </c>
      <c r="F834" s="1" t="s">
        <v>138</v>
      </c>
      <c r="G834" s="1" t="s">
        <v>83</v>
      </c>
    </row>
    <row r="835" spans="1:7" x14ac:dyDescent="0.3">
      <c r="A835" s="48">
        <v>46185</v>
      </c>
      <c r="B835" s="1">
        <v>2026</v>
      </c>
      <c r="C835" s="1">
        <v>6</v>
      </c>
      <c r="D835" s="1" t="s">
        <v>141</v>
      </c>
      <c r="E835" s="1">
        <v>2</v>
      </c>
      <c r="F835" s="1" t="s">
        <v>131</v>
      </c>
      <c r="G835" s="1" t="s">
        <v>83</v>
      </c>
    </row>
    <row r="836" spans="1:7" x14ac:dyDescent="0.3">
      <c r="A836" s="48">
        <v>46186</v>
      </c>
      <c r="B836" s="1">
        <v>2026</v>
      </c>
      <c r="C836" s="1">
        <v>6</v>
      </c>
      <c r="D836" s="1" t="s">
        <v>141</v>
      </c>
      <c r="E836" s="1">
        <v>2</v>
      </c>
      <c r="F836" s="1" t="s">
        <v>132</v>
      </c>
      <c r="G836" s="1" t="s">
        <v>133</v>
      </c>
    </row>
    <row r="837" spans="1:7" x14ac:dyDescent="0.3">
      <c r="A837" s="48">
        <v>46187</v>
      </c>
      <c r="B837" s="1">
        <v>2026</v>
      </c>
      <c r="C837" s="1">
        <v>6</v>
      </c>
      <c r="D837" s="1" t="s">
        <v>141</v>
      </c>
      <c r="E837" s="1">
        <v>2</v>
      </c>
      <c r="F837" s="1" t="s">
        <v>134</v>
      </c>
      <c r="G837" s="1" t="s">
        <v>133</v>
      </c>
    </row>
    <row r="838" spans="1:7" x14ac:dyDescent="0.3">
      <c r="A838" s="48">
        <v>46188</v>
      </c>
      <c r="B838" s="1">
        <v>2026</v>
      </c>
      <c r="C838" s="1">
        <v>6</v>
      </c>
      <c r="D838" s="1" t="s">
        <v>141</v>
      </c>
      <c r="E838" s="1">
        <v>2</v>
      </c>
      <c r="F838" s="1" t="s">
        <v>135</v>
      </c>
      <c r="G838" s="1" t="s">
        <v>83</v>
      </c>
    </row>
    <row r="839" spans="1:7" x14ac:dyDescent="0.3">
      <c r="A839" s="48">
        <v>46189</v>
      </c>
      <c r="B839" s="1">
        <v>2026</v>
      </c>
      <c r="C839" s="1">
        <v>6</v>
      </c>
      <c r="D839" s="1" t="s">
        <v>141</v>
      </c>
      <c r="E839" s="1">
        <v>2</v>
      </c>
      <c r="F839" s="1" t="s">
        <v>136</v>
      </c>
      <c r="G839" s="1" t="s">
        <v>83</v>
      </c>
    </row>
    <row r="840" spans="1:7" x14ac:dyDescent="0.3">
      <c r="A840" s="48">
        <v>46190</v>
      </c>
      <c r="B840" s="1">
        <v>2026</v>
      </c>
      <c r="C840" s="1">
        <v>6</v>
      </c>
      <c r="D840" s="1" t="s">
        <v>141</v>
      </c>
      <c r="E840" s="1">
        <v>2</v>
      </c>
      <c r="F840" s="1" t="s">
        <v>137</v>
      </c>
      <c r="G840" s="1" t="s">
        <v>83</v>
      </c>
    </row>
    <row r="841" spans="1:7" x14ac:dyDescent="0.3">
      <c r="A841" s="48">
        <v>46191</v>
      </c>
      <c r="B841" s="1">
        <v>2026</v>
      </c>
      <c r="C841" s="1">
        <v>6</v>
      </c>
      <c r="D841" s="1" t="s">
        <v>141</v>
      </c>
      <c r="E841" s="1">
        <v>2</v>
      </c>
      <c r="F841" s="1" t="s">
        <v>138</v>
      </c>
      <c r="G841" s="1" t="s">
        <v>83</v>
      </c>
    </row>
    <row r="842" spans="1:7" x14ac:dyDescent="0.3">
      <c r="A842" s="48">
        <v>46192</v>
      </c>
      <c r="B842" s="1">
        <v>2026</v>
      </c>
      <c r="C842" s="1">
        <v>6</v>
      </c>
      <c r="D842" s="1" t="s">
        <v>141</v>
      </c>
      <c r="E842" s="1">
        <v>2</v>
      </c>
      <c r="F842" s="1" t="s">
        <v>131</v>
      </c>
      <c r="G842" s="1" t="s">
        <v>83</v>
      </c>
    </row>
    <row r="843" spans="1:7" x14ac:dyDescent="0.3">
      <c r="A843" s="48">
        <v>46193</v>
      </c>
      <c r="B843" s="1">
        <v>2026</v>
      </c>
      <c r="C843" s="1">
        <v>6</v>
      </c>
      <c r="D843" s="1" t="s">
        <v>141</v>
      </c>
      <c r="E843" s="1">
        <v>2</v>
      </c>
      <c r="F843" s="1" t="s">
        <v>132</v>
      </c>
      <c r="G843" s="1" t="s">
        <v>133</v>
      </c>
    </row>
    <row r="844" spans="1:7" x14ac:dyDescent="0.3">
      <c r="A844" s="48">
        <v>46194</v>
      </c>
      <c r="B844" s="1">
        <v>2026</v>
      </c>
      <c r="C844" s="1">
        <v>6</v>
      </c>
      <c r="D844" s="1" t="s">
        <v>141</v>
      </c>
      <c r="E844" s="1">
        <v>2</v>
      </c>
      <c r="F844" s="1" t="s">
        <v>134</v>
      </c>
      <c r="G844" s="1" t="s">
        <v>133</v>
      </c>
    </row>
    <row r="845" spans="1:7" x14ac:dyDescent="0.3">
      <c r="A845" s="48">
        <v>46195</v>
      </c>
      <c r="B845" s="1">
        <v>2026</v>
      </c>
      <c r="C845" s="1">
        <v>6</v>
      </c>
      <c r="D845" s="1" t="s">
        <v>141</v>
      </c>
      <c r="E845" s="1">
        <v>2</v>
      </c>
      <c r="F845" s="1" t="s">
        <v>135</v>
      </c>
      <c r="G845" s="1" t="s">
        <v>83</v>
      </c>
    </row>
    <row r="846" spans="1:7" x14ac:dyDescent="0.3">
      <c r="A846" s="48">
        <v>46196</v>
      </c>
      <c r="B846" s="1">
        <v>2026</v>
      </c>
      <c r="C846" s="1">
        <v>6</v>
      </c>
      <c r="D846" s="1" t="s">
        <v>141</v>
      </c>
      <c r="E846" s="1">
        <v>2</v>
      </c>
      <c r="F846" s="1" t="s">
        <v>136</v>
      </c>
      <c r="G846" s="1" t="s">
        <v>83</v>
      </c>
    </row>
    <row r="847" spans="1:7" x14ac:dyDescent="0.3">
      <c r="A847" s="48">
        <v>46197</v>
      </c>
      <c r="B847" s="1">
        <v>2026</v>
      </c>
      <c r="C847" s="1">
        <v>6</v>
      </c>
      <c r="D847" s="1" t="s">
        <v>141</v>
      </c>
      <c r="E847" s="1">
        <v>2</v>
      </c>
      <c r="F847" s="1" t="s">
        <v>137</v>
      </c>
      <c r="G847" s="1" t="s">
        <v>83</v>
      </c>
    </row>
    <row r="848" spans="1:7" x14ac:dyDescent="0.3">
      <c r="A848" s="48">
        <v>46198</v>
      </c>
      <c r="B848" s="1">
        <v>2026</v>
      </c>
      <c r="C848" s="1">
        <v>6</v>
      </c>
      <c r="D848" s="1" t="s">
        <v>141</v>
      </c>
      <c r="E848" s="1">
        <v>2</v>
      </c>
      <c r="F848" s="1" t="s">
        <v>138</v>
      </c>
      <c r="G848" s="1" t="s">
        <v>83</v>
      </c>
    </row>
    <row r="849" spans="1:7" x14ac:dyDescent="0.3">
      <c r="A849" s="48">
        <v>46199</v>
      </c>
      <c r="B849" s="1">
        <v>2026</v>
      </c>
      <c r="C849" s="1">
        <v>6</v>
      </c>
      <c r="D849" s="1" t="s">
        <v>141</v>
      </c>
      <c r="E849" s="1">
        <v>2</v>
      </c>
      <c r="F849" s="1" t="s">
        <v>131</v>
      </c>
      <c r="G849" s="1" t="s">
        <v>83</v>
      </c>
    </row>
    <row r="850" spans="1:7" x14ac:dyDescent="0.3">
      <c r="A850" s="48">
        <v>46200</v>
      </c>
      <c r="B850" s="1">
        <v>2026</v>
      </c>
      <c r="C850" s="1">
        <v>6</v>
      </c>
      <c r="D850" s="1" t="s">
        <v>141</v>
      </c>
      <c r="E850" s="1">
        <v>2</v>
      </c>
      <c r="F850" s="1" t="s">
        <v>132</v>
      </c>
      <c r="G850" s="1" t="s">
        <v>133</v>
      </c>
    </row>
    <row r="851" spans="1:7" x14ac:dyDescent="0.3">
      <c r="A851" s="48">
        <v>46201</v>
      </c>
      <c r="B851" s="1">
        <v>2026</v>
      </c>
      <c r="C851" s="1">
        <v>6</v>
      </c>
      <c r="D851" s="1" t="s">
        <v>141</v>
      </c>
      <c r="E851" s="1">
        <v>2</v>
      </c>
      <c r="F851" s="1" t="s">
        <v>134</v>
      </c>
      <c r="G851" s="1" t="s">
        <v>133</v>
      </c>
    </row>
    <row r="852" spans="1:7" x14ac:dyDescent="0.3">
      <c r="A852" s="48">
        <v>46202</v>
      </c>
      <c r="B852" s="1">
        <v>2026</v>
      </c>
      <c r="C852" s="1">
        <v>6</v>
      </c>
      <c r="D852" s="1" t="s">
        <v>141</v>
      </c>
      <c r="E852" s="1">
        <v>2</v>
      </c>
      <c r="F852" s="1" t="s">
        <v>135</v>
      </c>
      <c r="G852" s="1" t="s">
        <v>83</v>
      </c>
    </row>
    <row r="853" spans="1:7" x14ac:dyDescent="0.3">
      <c r="A853" s="48">
        <v>46203</v>
      </c>
      <c r="B853" s="1">
        <v>2026</v>
      </c>
      <c r="C853" s="1">
        <v>6</v>
      </c>
      <c r="D853" s="1" t="s">
        <v>141</v>
      </c>
      <c r="E853" s="1">
        <v>2</v>
      </c>
      <c r="F853" s="1" t="s">
        <v>136</v>
      </c>
      <c r="G853" s="1" t="s">
        <v>83</v>
      </c>
    </row>
    <row r="854" spans="1:7" x14ac:dyDescent="0.3">
      <c r="A854" s="48">
        <v>46204</v>
      </c>
      <c r="B854" s="1">
        <v>2026</v>
      </c>
      <c r="C854" s="1">
        <v>7</v>
      </c>
      <c r="D854" s="1" t="s">
        <v>142</v>
      </c>
      <c r="E854" s="1">
        <v>3</v>
      </c>
      <c r="F854" s="1" t="s">
        <v>137</v>
      </c>
      <c r="G854" s="1" t="s">
        <v>83</v>
      </c>
    </row>
    <row r="855" spans="1:7" x14ac:dyDescent="0.3">
      <c r="A855" s="48">
        <v>46205</v>
      </c>
      <c r="B855" s="1">
        <v>2026</v>
      </c>
      <c r="C855" s="1">
        <v>7</v>
      </c>
      <c r="D855" s="1" t="s">
        <v>142</v>
      </c>
      <c r="E855" s="1">
        <v>3</v>
      </c>
      <c r="F855" s="1" t="s">
        <v>138</v>
      </c>
      <c r="G855" s="1" t="s">
        <v>83</v>
      </c>
    </row>
    <row r="856" spans="1:7" x14ac:dyDescent="0.3">
      <c r="A856" s="48">
        <v>46206</v>
      </c>
      <c r="B856" s="1">
        <v>2026</v>
      </c>
      <c r="C856" s="1">
        <v>7</v>
      </c>
      <c r="D856" s="1" t="s">
        <v>142</v>
      </c>
      <c r="E856" s="1">
        <v>3</v>
      </c>
      <c r="F856" s="1" t="s">
        <v>131</v>
      </c>
      <c r="G856" s="1" t="s">
        <v>83</v>
      </c>
    </row>
    <row r="857" spans="1:7" x14ac:dyDescent="0.3">
      <c r="A857" s="48">
        <v>46207</v>
      </c>
      <c r="B857" s="1">
        <v>2026</v>
      </c>
      <c r="C857" s="1">
        <v>7</v>
      </c>
      <c r="D857" s="1" t="s">
        <v>142</v>
      </c>
      <c r="E857" s="1">
        <v>3</v>
      </c>
      <c r="F857" s="1" t="s">
        <v>132</v>
      </c>
      <c r="G857" s="1" t="s">
        <v>133</v>
      </c>
    </row>
    <row r="858" spans="1:7" x14ac:dyDescent="0.3">
      <c r="A858" s="48">
        <v>46208</v>
      </c>
      <c r="B858" s="1">
        <v>2026</v>
      </c>
      <c r="C858" s="1">
        <v>7</v>
      </c>
      <c r="D858" s="1" t="s">
        <v>142</v>
      </c>
      <c r="E858" s="1">
        <v>3</v>
      </c>
      <c r="F858" s="1" t="s">
        <v>134</v>
      </c>
      <c r="G858" s="1" t="s">
        <v>133</v>
      </c>
    </row>
    <row r="859" spans="1:7" x14ac:dyDescent="0.3">
      <c r="A859" s="48">
        <v>46209</v>
      </c>
      <c r="B859" s="1">
        <v>2026</v>
      </c>
      <c r="C859" s="1">
        <v>7</v>
      </c>
      <c r="D859" s="1" t="s">
        <v>142</v>
      </c>
      <c r="E859" s="1">
        <v>3</v>
      </c>
      <c r="F859" s="1" t="s">
        <v>135</v>
      </c>
      <c r="G859" s="1" t="s">
        <v>83</v>
      </c>
    </row>
    <row r="860" spans="1:7" x14ac:dyDescent="0.3">
      <c r="A860" s="48">
        <v>46210</v>
      </c>
      <c r="B860" s="1">
        <v>2026</v>
      </c>
      <c r="C860" s="1">
        <v>7</v>
      </c>
      <c r="D860" s="1" t="s">
        <v>142</v>
      </c>
      <c r="E860" s="1">
        <v>3</v>
      </c>
      <c r="F860" s="1" t="s">
        <v>136</v>
      </c>
      <c r="G860" s="1" t="s">
        <v>83</v>
      </c>
    </row>
    <row r="861" spans="1:7" x14ac:dyDescent="0.3">
      <c r="A861" s="48">
        <v>46211</v>
      </c>
      <c r="B861" s="1">
        <v>2026</v>
      </c>
      <c r="C861" s="1">
        <v>7</v>
      </c>
      <c r="D861" s="1" t="s">
        <v>142</v>
      </c>
      <c r="E861" s="1">
        <v>3</v>
      </c>
      <c r="F861" s="1" t="s">
        <v>137</v>
      </c>
      <c r="G861" s="1" t="s">
        <v>83</v>
      </c>
    </row>
    <row r="862" spans="1:7" x14ac:dyDescent="0.3">
      <c r="A862" s="48">
        <v>46212</v>
      </c>
      <c r="B862" s="1">
        <v>2026</v>
      </c>
      <c r="C862" s="1">
        <v>7</v>
      </c>
      <c r="D862" s="1" t="s">
        <v>142</v>
      </c>
      <c r="E862" s="1">
        <v>3</v>
      </c>
      <c r="F862" s="1" t="s">
        <v>138</v>
      </c>
      <c r="G862" s="1" t="s">
        <v>83</v>
      </c>
    </row>
    <row r="863" spans="1:7" x14ac:dyDescent="0.3">
      <c r="A863" s="48">
        <v>46213</v>
      </c>
      <c r="B863" s="1">
        <v>2026</v>
      </c>
      <c r="C863" s="1">
        <v>7</v>
      </c>
      <c r="D863" s="1" t="s">
        <v>142</v>
      </c>
      <c r="E863" s="1">
        <v>3</v>
      </c>
      <c r="F863" s="1" t="s">
        <v>131</v>
      </c>
      <c r="G863" s="1" t="s">
        <v>83</v>
      </c>
    </row>
    <row r="864" spans="1:7" x14ac:dyDescent="0.3">
      <c r="A864" s="48">
        <v>46214</v>
      </c>
      <c r="B864" s="1">
        <v>2026</v>
      </c>
      <c r="C864" s="1">
        <v>7</v>
      </c>
      <c r="D864" s="1" t="s">
        <v>142</v>
      </c>
      <c r="E864" s="1">
        <v>3</v>
      </c>
      <c r="F864" s="1" t="s">
        <v>132</v>
      </c>
      <c r="G864" s="1" t="s">
        <v>133</v>
      </c>
    </row>
    <row r="865" spans="1:7" x14ac:dyDescent="0.3">
      <c r="A865" s="48">
        <v>46215</v>
      </c>
      <c r="B865" s="1">
        <v>2026</v>
      </c>
      <c r="C865" s="1">
        <v>7</v>
      </c>
      <c r="D865" s="1" t="s">
        <v>142</v>
      </c>
      <c r="E865" s="1">
        <v>3</v>
      </c>
      <c r="F865" s="1" t="s">
        <v>134</v>
      </c>
      <c r="G865" s="1" t="s">
        <v>133</v>
      </c>
    </row>
    <row r="866" spans="1:7" x14ac:dyDescent="0.3">
      <c r="A866" s="48">
        <v>46216</v>
      </c>
      <c r="B866" s="1">
        <v>2026</v>
      </c>
      <c r="C866" s="1">
        <v>7</v>
      </c>
      <c r="D866" s="1" t="s">
        <v>142</v>
      </c>
      <c r="E866" s="1">
        <v>3</v>
      </c>
      <c r="F866" s="1" t="s">
        <v>135</v>
      </c>
      <c r="G866" s="1" t="s">
        <v>83</v>
      </c>
    </row>
    <row r="867" spans="1:7" x14ac:dyDescent="0.3">
      <c r="A867" s="48">
        <v>46217</v>
      </c>
      <c r="B867" s="1">
        <v>2026</v>
      </c>
      <c r="C867" s="1">
        <v>7</v>
      </c>
      <c r="D867" s="1" t="s">
        <v>142</v>
      </c>
      <c r="E867" s="1">
        <v>3</v>
      </c>
      <c r="F867" s="1" t="s">
        <v>136</v>
      </c>
      <c r="G867" s="1" t="s">
        <v>83</v>
      </c>
    </row>
    <row r="868" spans="1:7" x14ac:dyDescent="0.3">
      <c r="A868" s="48">
        <v>46218</v>
      </c>
      <c r="B868" s="1">
        <v>2026</v>
      </c>
      <c r="C868" s="1">
        <v>7</v>
      </c>
      <c r="D868" s="1" t="s">
        <v>142</v>
      </c>
      <c r="E868" s="1">
        <v>3</v>
      </c>
      <c r="F868" s="1" t="s">
        <v>137</v>
      </c>
      <c r="G868" s="1" t="s">
        <v>83</v>
      </c>
    </row>
    <row r="869" spans="1:7" x14ac:dyDescent="0.3">
      <c r="A869" s="48">
        <v>46219</v>
      </c>
      <c r="B869" s="1">
        <v>2026</v>
      </c>
      <c r="C869" s="1">
        <v>7</v>
      </c>
      <c r="D869" s="1" t="s">
        <v>142</v>
      </c>
      <c r="E869" s="1">
        <v>3</v>
      </c>
      <c r="F869" s="1" t="s">
        <v>138</v>
      </c>
      <c r="G869" s="1" t="s">
        <v>83</v>
      </c>
    </row>
    <row r="870" spans="1:7" x14ac:dyDescent="0.3">
      <c r="A870" s="48">
        <v>46220</v>
      </c>
      <c r="B870" s="1">
        <v>2026</v>
      </c>
      <c r="C870" s="1">
        <v>7</v>
      </c>
      <c r="D870" s="1" t="s">
        <v>142</v>
      </c>
      <c r="E870" s="1">
        <v>3</v>
      </c>
      <c r="F870" s="1" t="s">
        <v>131</v>
      </c>
      <c r="G870" s="1" t="s">
        <v>83</v>
      </c>
    </row>
    <row r="871" spans="1:7" x14ac:dyDescent="0.3">
      <c r="A871" s="48">
        <v>46221</v>
      </c>
      <c r="B871" s="1">
        <v>2026</v>
      </c>
      <c r="C871" s="1">
        <v>7</v>
      </c>
      <c r="D871" s="1" t="s">
        <v>142</v>
      </c>
      <c r="E871" s="1">
        <v>3</v>
      </c>
      <c r="F871" s="1" t="s">
        <v>132</v>
      </c>
      <c r="G871" s="1" t="s">
        <v>133</v>
      </c>
    </row>
    <row r="872" spans="1:7" x14ac:dyDescent="0.3">
      <c r="A872" s="48">
        <v>46222</v>
      </c>
      <c r="B872" s="1">
        <v>2026</v>
      </c>
      <c r="C872" s="1">
        <v>7</v>
      </c>
      <c r="D872" s="1" t="s">
        <v>142</v>
      </c>
      <c r="E872" s="1">
        <v>3</v>
      </c>
      <c r="F872" s="1" t="s">
        <v>134</v>
      </c>
      <c r="G872" s="1" t="s">
        <v>133</v>
      </c>
    </row>
    <row r="873" spans="1:7" x14ac:dyDescent="0.3">
      <c r="A873" s="48">
        <v>46223</v>
      </c>
      <c r="B873" s="1">
        <v>2026</v>
      </c>
      <c r="C873" s="1">
        <v>7</v>
      </c>
      <c r="D873" s="1" t="s">
        <v>142</v>
      </c>
      <c r="E873" s="1">
        <v>3</v>
      </c>
      <c r="F873" s="1" t="s">
        <v>135</v>
      </c>
      <c r="G873" s="1" t="s">
        <v>83</v>
      </c>
    </row>
    <row r="874" spans="1:7" x14ac:dyDescent="0.3">
      <c r="A874" s="48">
        <v>46224</v>
      </c>
      <c r="B874" s="1">
        <v>2026</v>
      </c>
      <c r="C874" s="1">
        <v>7</v>
      </c>
      <c r="D874" s="1" t="s">
        <v>142</v>
      </c>
      <c r="E874" s="1">
        <v>3</v>
      </c>
      <c r="F874" s="1" t="s">
        <v>136</v>
      </c>
      <c r="G874" s="1" t="s">
        <v>83</v>
      </c>
    </row>
    <row r="875" spans="1:7" x14ac:dyDescent="0.3">
      <c r="A875" s="48">
        <v>46225</v>
      </c>
      <c r="B875" s="1">
        <v>2026</v>
      </c>
      <c r="C875" s="1">
        <v>7</v>
      </c>
      <c r="D875" s="1" t="s">
        <v>142</v>
      </c>
      <c r="E875" s="1">
        <v>3</v>
      </c>
      <c r="F875" s="1" t="s">
        <v>137</v>
      </c>
      <c r="G875" s="1" t="s">
        <v>83</v>
      </c>
    </row>
    <row r="876" spans="1:7" x14ac:dyDescent="0.3">
      <c r="A876" s="48">
        <v>46226</v>
      </c>
      <c r="B876" s="1">
        <v>2026</v>
      </c>
      <c r="C876" s="1">
        <v>7</v>
      </c>
      <c r="D876" s="1" t="s">
        <v>142</v>
      </c>
      <c r="E876" s="1">
        <v>3</v>
      </c>
      <c r="F876" s="1" t="s">
        <v>138</v>
      </c>
      <c r="G876" s="1" t="s">
        <v>83</v>
      </c>
    </row>
    <row r="877" spans="1:7" x14ac:dyDescent="0.3">
      <c r="A877" s="48">
        <v>46227</v>
      </c>
      <c r="B877" s="1">
        <v>2026</v>
      </c>
      <c r="C877" s="1">
        <v>7</v>
      </c>
      <c r="D877" s="1" t="s">
        <v>142</v>
      </c>
      <c r="E877" s="1">
        <v>3</v>
      </c>
      <c r="F877" s="1" t="s">
        <v>131</v>
      </c>
      <c r="G877" s="1" t="s">
        <v>83</v>
      </c>
    </row>
    <row r="878" spans="1:7" x14ac:dyDescent="0.3">
      <c r="A878" s="48">
        <v>46228</v>
      </c>
      <c r="B878" s="1">
        <v>2026</v>
      </c>
      <c r="C878" s="1">
        <v>7</v>
      </c>
      <c r="D878" s="1" t="s">
        <v>142</v>
      </c>
      <c r="E878" s="1">
        <v>3</v>
      </c>
      <c r="F878" s="1" t="s">
        <v>132</v>
      </c>
      <c r="G878" s="1" t="s">
        <v>133</v>
      </c>
    </row>
    <row r="879" spans="1:7" x14ac:dyDescent="0.3">
      <c r="A879" s="48">
        <v>46229</v>
      </c>
      <c r="B879" s="1">
        <v>2026</v>
      </c>
      <c r="C879" s="1">
        <v>7</v>
      </c>
      <c r="D879" s="1" t="s">
        <v>142</v>
      </c>
      <c r="E879" s="1">
        <v>3</v>
      </c>
      <c r="F879" s="1" t="s">
        <v>134</v>
      </c>
      <c r="G879" s="1" t="s">
        <v>133</v>
      </c>
    </row>
    <row r="880" spans="1:7" x14ac:dyDescent="0.3">
      <c r="A880" s="48">
        <v>46230</v>
      </c>
      <c r="B880" s="1">
        <v>2026</v>
      </c>
      <c r="C880" s="1">
        <v>7</v>
      </c>
      <c r="D880" s="1" t="s">
        <v>142</v>
      </c>
      <c r="E880" s="1">
        <v>3</v>
      </c>
      <c r="F880" s="1" t="s">
        <v>135</v>
      </c>
      <c r="G880" s="1" t="s">
        <v>83</v>
      </c>
    </row>
    <row r="881" spans="1:7" x14ac:dyDescent="0.3">
      <c r="A881" s="48">
        <v>46231</v>
      </c>
      <c r="B881" s="1">
        <v>2026</v>
      </c>
      <c r="C881" s="1">
        <v>7</v>
      </c>
      <c r="D881" s="1" t="s">
        <v>142</v>
      </c>
      <c r="E881" s="1">
        <v>3</v>
      </c>
      <c r="F881" s="1" t="s">
        <v>136</v>
      </c>
      <c r="G881" s="1" t="s">
        <v>83</v>
      </c>
    </row>
    <row r="882" spans="1:7" x14ac:dyDescent="0.3">
      <c r="A882" s="48">
        <v>46232</v>
      </c>
      <c r="B882" s="1">
        <v>2026</v>
      </c>
      <c r="C882" s="1">
        <v>7</v>
      </c>
      <c r="D882" s="1" t="s">
        <v>142</v>
      </c>
      <c r="E882" s="1">
        <v>3</v>
      </c>
      <c r="F882" s="1" t="s">
        <v>137</v>
      </c>
      <c r="G882" s="1" t="s">
        <v>83</v>
      </c>
    </row>
    <row r="883" spans="1:7" x14ac:dyDescent="0.3">
      <c r="A883" s="48">
        <v>46233</v>
      </c>
      <c r="B883" s="1">
        <v>2026</v>
      </c>
      <c r="C883" s="1">
        <v>7</v>
      </c>
      <c r="D883" s="1" t="s">
        <v>142</v>
      </c>
      <c r="E883" s="1">
        <v>3</v>
      </c>
      <c r="F883" s="1" t="s">
        <v>138</v>
      </c>
      <c r="G883" s="1" t="s">
        <v>83</v>
      </c>
    </row>
    <row r="884" spans="1:7" x14ac:dyDescent="0.3">
      <c r="A884" s="48">
        <v>46234</v>
      </c>
      <c r="B884" s="1">
        <v>2026</v>
      </c>
      <c r="C884" s="1">
        <v>7</v>
      </c>
      <c r="D884" s="1" t="s">
        <v>142</v>
      </c>
      <c r="E884" s="1">
        <v>3</v>
      </c>
      <c r="F884" s="1" t="s">
        <v>131</v>
      </c>
      <c r="G884" s="1" t="s">
        <v>83</v>
      </c>
    </row>
    <row r="885" spans="1:7" x14ac:dyDescent="0.3">
      <c r="A885" s="48">
        <v>46235</v>
      </c>
      <c r="B885" s="1">
        <v>2026</v>
      </c>
      <c r="C885" s="1">
        <v>8</v>
      </c>
      <c r="D885" s="1" t="s">
        <v>143</v>
      </c>
      <c r="E885" s="1">
        <v>3</v>
      </c>
      <c r="F885" s="1" t="s">
        <v>132</v>
      </c>
      <c r="G885" s="1" t="s">
        <v>133</v>
      </c>
    </row>
    <row r="886" spans="1:7" x14ac:dyDescent="0.3">
      <c r="A886" s="48">
        <v>46236</v>
      </c>
      <c r="B886" s="1">
        <v>2026</v>
      </c>
      <c r="C886" s="1">
        <v>8</v>
      </c>
      <c r="D886" s="1" t="s">
        <v>143</v>
      </c>
      <c r="E886" s="1">
        <v>3</v>
      </c>
      <c r="F886" s="1" t="s">
        <v>134</v>
      </c>
      <c r="G886" s="1" t="s">
        <v>133</v>
      </c>
    </row>
    <row r="887" spans="1:7" x14ac:dyDescent="0.3">
      <c r="A887" s="48">
        <v>46237</v>
      </c>
      <c r="B887" s="1">
        <v>2026</v>
      </c>
      <c r="C887" s="1">
        <v>8</v>
      </c>
      <c r="D887" s="1" t="s">
        <v>143</v>
      </c>
      <c r="E887" s="1">
        <v>3</v>
      </c>
      <c r="F887" s="1" t="s">
        <v>135</v>
      </c>
      <c r="G887" s="1" t="s">
        <v>83</v>
      </c>
    </row>
    <row r="888" spans="1:7" x14ac:dyDescent="0.3">
      <c r="A888" s="48">
        <v>46238</v>
      </c>
      <c r="B888" s="1">
        <v>2026</v>
      </c>
      <c r="C888" s="1">
        <v>8</v>
      </c>
      <c r="D888" s="1" t="s">
        <v>143</v>
      </c>
      <c r="E888" s="1">
        <v>3</v>
      </c>
      <c r="F888" s="1" t="s">
        <v>136</v>
      </c>
      <c r="G888" s="1" t="s">
        <v>83</v>
      </c>
    </row>
    <row r="889" spans="1:7" x14ac:dyDescent="0.3">
      <c r="A889" s="48">
        <v>46239</v>
      </c>
      <c r="B889" s="1">
        <v>2026</v>
      </c>
      <c r="C889" s="1">
        <v>8</v>
      </c>
      <c r="D889" s="1" t="s">
        <v>143</v>
      </c>
      <c r="E889" s="1">
        <v>3</v>
      </c>
      <c r="F889" s="1" t="s">
        <v>137</v>
      </c>
      <c r="G889" s="1" t="s">
        <v>83</v>
      </c>
    </row>
    <row r="890" spans="1:7" x14ac:dyDescent="0.3">
      <c r="A890" s="48">
        <v>46240</v>
      </c>
      <c r="B890" s="1">
        <v>2026</v>
      </c>
      <c r="C890" s="1">
        <v>8</v>
      </c>
      <c r="D890" s="1" t="s">
        <v>143</v>
      </c>
      <c r="E890" s="1">
        <v>3</v>
      </c>
      <c r="F890" s="1" t="s">
        <v>138</v>
      </c>
      <c r="G890" s="1" t="s">
        <v>83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49B9-9407-4A6D-8888-43E250F3EA2A}">
  <dimension ref="A1:G31"/>
  <sheetViews>
    <sheetView showGridLines="0" workbookViewId="0"/>
  </sheetViews>
  <sheetFormatPr baseColWidth="10" defaultRowHeight="14.4" x14ac:dyDescent="0.3"/>
  <cols>
    <col min="1" max="1" width="8.6640625" bestFit="1" customWidth="1"/>
    <col min="2" max="2" width="12.77734375" bestFit="1" customWidth="1"/>
    <col min="3" max="3" width="14.77734375" bestFit="1" customWidth="1"/>
    <col min="4" max="4" width="12.33203125" bestFit="1" customWidth="1"/>
    <col min="5" max="5" width="20.21875" bestFit="1" customWidth="1"/>
    <col min="6" max="6" width="14.109375" bestFit="1" customWidth="1"/>
    <col min="7" max="7" width="16.21875" bestFit="1" customWidth="1"/>
  </cols>
  <sheetData>
    <row r="1" spans="1:7" x14ac:dyDescent="0.3">
      <c r="A1" t="s">
        <v>79</v>
      </c>
      <c r="B1" t="s">
        <v>218</v>
      </c>
      <c r="C1" t="s">
        <v>219</v>
      </c>
      <c r="D1" t="s">
        <v>220</v>
      </c>
      <c r="E1" t="s">
        <v>4</v>
      </c>
      <c r="F1" t="s">
        <v>221</v>
      </c>
      <c r="G1" t="s">
        <v>222</v>
      </c>
    </row>
    <row r="2" spans="1:7" x14ac:dyDescent="0.3">
      <c r="A2" s="76">
        <v>45352</v>
      </c>
      <c r="B2" s="97">
        <f>SUMIFS(Q_Transacciones_ETL[Total],Q_Transacciones_ETL[Fecha],"&gt;="&amp;A2,Q_Transacciones_ETL[Fecha],"&lt;"&amp;EDATE(A2,1),Q_Transacciones_ETL[Visible_M9],1)</f>
        <v>228500</v>
      </c>
      <c r="C2" s="77">
        <f>SUMIFS(Q_Transacciones_ETL[Cantidad],Q_Transacciones_ETL[Fecha],"&gt;="&amp;A2,Q_Transacciones_ETL[Fecha],"&lt;"&amp;EDATE(A2,1),Q_Transacciones_ETL[Visible_M9],1)</f>
        <v>7</v>
      </c>
      <c r="D2" s="97">
        <f>SUMIFS(Q_Transacciones_ETL[Margen_Estimado],Q_Transacciones_ETL[Fecha],"&gt;="&amp;A2,Q_Transacciones_ETL[Fecha],"&lt;"&amp;EDATE(A2,1),Q_Transacciones_ETL[Visible_M9],1)</f>
        <v>79975</v>
      </c>
      <c r="E2" t="s">
        <v>12</v>
      </c>
      <c r="F2" s="97">
        <f>SUMIFS(Q_Transacciones_ETL[Total],Q_Transacciones_ETL[Producto],E2,Q_Transacciones_ETL[Visible_M9],1)</f>
        <v>1200000</v>
      </c>
      <c r="G2" s="77">
        <f>SUMIFS(Q_Transacciones_ETL[Cantidad],Q_Transacciones_ETL[Producto],E2,Q_Transacciones_ETL[Visible_M9],1)</f>
        <v>10</v>
      </c>
    </row>
    <row r="3" spans="1:7" x14ac:dyDescent="0.3">
      <c r="A3" s="76">
        <v>45383</v>
      </c>
      <c r="B3" s="97">
        <f>SUMIFS(Q_Transacciones_ETL[Total],Q_Transacciones_ETL[Fecha],"&gt;="&amp;A3,Q_Transacciones_ETL[Fecha],"&lt;"&amp;EDATE(A3,1),Q_Transacciones_ETL[Visible_M9],1)</f>
        <v>125000</v>
      </c>
      <c r="C3" s="77">
        <f>SUMIFS(Q_Transacciones_ETL[Cantidad],Q_Transacciones_ETL[Fecha],"&gt;="&amp;A3,Q_Transacciones_ETL[Fecha],"&lt;"&amp;EDATE(A3,1),Q_Transacciones_ETL[Visible_M9],1)</f>
        <v>10</v>
      </c>
      <c r="D3" s="97">
        <f>SUMIFS(Q_Transacciones_ETL[Margen_Estimado],Q_Transacciones_ETL[Fecha],"&gt;="&amp;A3,Q_Transacciones_ETL[Fecha],"&lt;"&amp;EDATE(A3,1),Q_Transacciones_ETL[Visible_M9],1)</f>
        <v>43750</v>
      </c>
      <c r="E3" t="s">
        <v>17</v>
      </c>
      <c r="F3" s="97">
        <f>SUMIFS(Q_Transacciones_ETL[Total],Q_Transacciones_ETL[Producto],E3,Q_Transacciones_ETL[Visible_M9],1)</f>
        <v>45000</v>
      </c>
      <c r="G3" s="77">
        <f>SUMIFS(Q_Transacciones_ETL[Cantidad],Q_Transacciones_ETL[Producto],E3,Q_Transacciones_ETL[Visible_M9],1)</f>
        <v>18</v>
      </c>
    </row>
    <row r="4" spans="1:7" x14ac:dyDescent="0.3">
      <c r="A4" s="76">
        <v>45413</v>
      </c>
      <c r="B4" s="97">
        <f>SUMIFS(Q_Transacciones_ETL[Total],Q_Transacciones_ETL[Fecha],"&gt;="&amp;A4,Q_Transacciones_ETL[Fecha],"&lt;"&amp;EDATE(A4,1),Q_Transacciones_ETL[Visible_M9],1)</f>
        <v>0</v>
      </c>
      <c r="C4" s="77">
        <f>SUMIFS(Q_Transacciones_ETL[Cantidad],Q_Transacciones_ETL[Fecha],"&gt;="&amp;A4,Q_Transacciones_ETL[Fecha],"&lt;"&amp;EDATE(A4,1),Q_Transacciones_ETL[Visible_M9],1)</f>
        <v>0</v>
      </c>
      <c r="D4" s="97">
        <f>SUMIFS(Q_Transacciones_ETL[Margen_Estimado],Q_Transacciones_ETL[Fecha],"&gt;="&amp;A4,Q_Transacciones_ETL[Fecha],"&lt;"&amp;EDATE(A4,1),Q_Transacciones_ETL[Visible_M9],1)</f>
        <v>0</v>
      </c>
      <c r="E4" t="s">
        <v>25</v>
      </c>
      <c r="F4" s="97">
        <f>SUMIFS(Q_Transacciones_ETL[Total],Q_Transacciones_ETL[Producto],E4,Q_Transacciones_ETL[Visible_M9],1)</f>
        <v>450000</v>
      </c>
      <c r="G4" s="77">
        <f>SUMIFS(Q_Transacciones_ETL[Cantidad],Q_Transacciones_ETL[Producto],E4,Q_Transacciones_ETL[Visible_M9],1)</f>
        <v>10</v>
      </c>
    </row>
    <row r="5" spans="1:7" x14ac:dyDescent="0.3">
      <c r="A5" s="76">
        <v>45444</v>
      </c>
      <c r="B5" s="97">
        <f>SUMIFS(Q_Transacciones_ETL[Total],Q_Transacciones_ETL[Fecha],"&gt;="&amp;A5,Q_Transacciones_ETL[Fecha],"&lt;"&amp;EDATE(A5,1),Q_Transacciones_ETL[Visible_M9],1)</f>
        <v>0</v>
      </c>
      <c r="C5" s="77">
        <f>SUMIFS(Q_Transacciones_ETL[Cantidad],Q_Transacciones_ETL[Fecha],"&gt;="&amp;A5,Q_Transacciones_ETL[Fecha],"&lt;"&amp;EDATE(A5,1),Q_Transacciones_ETL[Visible_M9],1)</f>
        <v>0</v>
      </c>
      <c r="D5" s="97">
        <f>SUMIFS(Q_Transacciones_ETL[Margen_Estimado],Q_Transacciones_ETL[Fecha],"&gt;="&amp;A5,Q_Transacciones_ETL[Fecha],"&lt;"&amp;EDATE(A5,1),Q_Transacciones_ETL[Visible_M9],1)</f>
        <v>0</v>
      </c>
      <c r="E5" t="s">
        <v>30</v>
      </c>
      <c r="F5" s="97">
        <f>SUMIFS(Q_Transacciones_ETL[Total],Q_Transacciones_ETL[Producto],E5,Q_Transacciones_ETL[Visible_M9],1)</f>
        <v>297000</v>
      </c>
      <c r="G5" s="77">
        <f>SUMIFS(Q_Transacciones_ETL[Cantidad],Q_Transacciones_ETL[Producto],E5,Q_Transacciones_ETL[Visible_M9],1)</f>
        <v>27</v>
      </c>
    </row>
    <row r="6" spans="1:7" x14ac:dyDescent="0.3">
      <c r="A6" s="76">
        <v>45474</v>
      </c>
      <c r="B6" s="97">
        <f>SUMIFS(Q_Transacciones_ETL[Total],Q_Transacciones_ETL[Fecha],"&gt;="&amp;A6,Q_Transacciones_ETL[Fecha],"&lt;"&amp;EDATE(A6,1),Q_Transacciones_ETL[Visible_M9],1)</f>
        <v>0</v>
      </c>
      <c r="C6" s="77">
        <f>SUMIFS(Q_Transacciones_ETL[Cantidad],Q_Transacciones_ETL[Fecha],"&gt;="&amp;A6,Q_Transacciones_ETL[Fecha],"&lt;"&amp;EDATE(A6,1),Q_Transacciones_ETL[Visible_M9],1)</f>
        <v>0</v>
      </c>
      <c r="D6" s="97">
        <f>SUMIFS(Q_Transacciones_ETL[Margen_Estimado],Q_Transacciones_ETL[Fecha],"&gt;="&amp;A6,Q_Transacciones_ETL[Fecha],"&lt;"&amp;EDATE(A6,1),Q_Transacciones_ETL[Visible_M9],1)</f>
        <v>0</v>
      </c>
      <c r="E6" t="s">
        <v>74</v>
      </c>
      <c r="F6" s="97">
        <f>SUMIFS(Q_Transacciones_ETL[Total],Q_Transacciones_ETL[Producto],E6,Q_Transacciones_ETL[Visible_M9],1)</f>
        <v>78000</v>
      </c>
      <c r="G6" s="77">
        <f>SUMIFS(Q_Transacciones_ETL[Cantidad],Q_Transacciones_ETL[Producto],E6,Q_Transacciones_ETL[Visible_M9],1)</f>
        <v>12</v>
      </c>
    </row>
    <row r="7" spans="1:7" x14ac:dyDescent="0.3">
      <c r="A7" s="76">
        <v>45505</v>
      </c>
      <c r="B7" s="97">
        <f>SUMIFS(Q_Transacciones_ETL[Total],Q_Transacciones_ETL[Fecha],"&gt;="&amp;A7,Q_Transacciones_ETL[Fecha],"&lt;"&amp;EDATE(A7,1),Q_Transacciones_ETL[Visible_M9],1)</f>
        <v>0</v>
      </c>
      <c r="C7" s="77">
        <f>SUMIFS(Q_Transacciones_ETL[Cantidad],Q_Transacciones_ETL[Fecha],"&gt;="&amp;A7,Q_Transacciones_ETL[Fecha],"&lt;"&amp;EDATE(A7,1),Q_Transacciones_ETL[Visible_M9],1)</f>
        <v>0</v>
      </c>
      <c r="D7" s="97">
        <f>SUMIFS(Q_Transacciones_ETL[Margen_Estimado],Q_Transacciones_ETL[Fecha],"&gt;="&amp;A7,Q_Transacciones_ETL[Fecha],"&lt;"&amp;EDATE(A7,1),Q_Transacciones_ETL[Visible_M9],1)</f>
        <v>0</v>
      </c>
      <c r="E7" t="s">
        <v>37</v>
      </c>
      <c r="F7" s="97">
        <f>SUMIFS(Q_Transacciones_ETL[Total],Q_Transacciones_ETL[Producto],E7,Q_Transacciones_ETL[Visible_M9],1)</f>
        <v>700000</v>
      </c>
      <c r="G7" s="77">
        <f>SUMIFS(Q_Transacciones_ETL[Cantidad],Q_Transacciones_ETL[Producto],E7,Q_Transacciones_ETL[Visible_M9],1)</f>
        <v>25</v>
      </c>
    </row>
    <row r="8" spans="1:7" x14ac:dyDescent="0.3">
      <c r="A8" s="76">
        <v>45536</v>
      </c>
      <c r="B8" s="97">
        <f>SUMIFS(Q_Transacciones_ETL[Total],Q_Transacciones_ETL[Fecha],"&gt;="&amp;A8,Q_Transacciones_ETL[Fecha],"&lt;"&amp;EDATE(A8,1),Q_Transacciones_ETL[Visible_M9],1)</f>
        <v>0</v>
      </c>
      <c r="C8" s="77">
        <f>SUMIFS(Q_Transacciones_ETL[Cantidad],Q_Transacciones_ETL[Fecha],"&gt;="&amp;A8,Q_Transacciones_ETL[Fecha],"&lt;"&amp;EDATE(A8,1),Q_Transacciones_ETL[Visible_M9],1)</f>
        <v>0</v>
      </c>
      <c r="D8" s="97">
        <f>SUMIFS(Q_Transacciones_ETL[Margen_Estimado],Q_Transacciones_ETL[Fecha],"&gt;="&amp;A8,Q_Transacciones_ETL[Fecha],"&lt;"&amp;EDATE(A8,1),Q_Transacciones_ETL[Visible_M9],1)</f>
        <v>0</v>
      </c>
      <c r="E8" t="s">
        <v>76</v>
      </c>
      <c r="F8" s="97">
        <f>SUMIFS(Q_Transacciones_ETL[Total],Q_Transacciones_ETL[Producto],E8,Q_Transacciones_ETL[Visible_M9],1)</f>
        <v>85500</v>
      </c>
      <c r="G8" s="77">
        <f>SUMIFS(Q_Transacciones_ETL[Cantidad],Q_Transacciones_ETL[Producto],E8,Q_Transacciones_ETL[Visible_M9],1)</f>
        <v>9</v>
      </c>
    </row>
    <row r="9" spans="1:7" x14ac:dyDescent="0.3">
      <c r="A9" s="76">
        <v>45566</v>
      </c>
      <c r="B9" s="97">
        <f>SUMIFS(Q_Transacciones_ETL[Total],Q_Transacciones_ETL[Fecha],"&gt;="&amp;A9,Q_Transacciones_ETL[Fecha],"&lt;"&amp;EDATE(A9,1),Q_Transacciones_ETL[Visible_M9],1)</f>
        <v>0</v>
      </c>
      <c r="C9" s="77">
        <f>SUMIFS(Q_Transacciones_ETL[Cantidad],Q_Transacciones_ETL[Fecha],"&gt;="&amp;A9,Q_Transacciones_ETL[Fecha],"&lt;"&amp;EDATE(A9,1),Q_Transacciones_ETL[Visible_M9],1)</f>
        <v>0</v>
      </c>
      <c r="D9" s="97">
        <f>SUMIFS(Q_Transacciones_ETL[Margen_Estimado],Q_Transacciones_ETL[Fecha],"&gt;="&amp;A9,Q_Transacciones_ETL[Fecha],"&lt;"&amp;EDATE(A9,1),Q_Transacciones_ETL[Visible_M9],1)</f>
        <v>0</v>
      </c>
    </row>
    <row r="10" spans="1:7" x14ac:dyDescent="0.3">
      <c r="A10" s="76">
        <v>45597</v>
      </c>
      <c r="B10" s="97">
        <f>SUMIFS(Q_Transacciones_ETL[Total],Q_Transacciones_ETL[Fecha],"&gt;="&amp;A10,Q_Transacciones_ETL[Fecha],"&lt;"&amp;EDATE(A10,1),Q_Transacciones_ETL[Visible_M9],1)</f>
        <v>0</v>
      </c>
      <c r="C10" s="77">
        <f>SUMIFS(Q_Transacciones_ETL[Cantidad],Q_Transacciones_ETL[Fecha],"&gt;="&amp;A10,Q_Transacciones_ETL[Fecha],"&lt;"&amp;EDATE(A10,1),Q_Transacciones_ETL[Visible_M9],1)</f>
        <v>0</v>
      </c>
      <c r="D10" s="97">
        <f>SUMIFS(Q_Transacciones_ETL[Margen_Estimado],Q_Transacciones_ETL[Fecha],"&gt;="&amp;A10,Q_Transacciones_ETL[Fecha],"&lt;"&amp;EDATE(A10,1),Q_Transacciones_ETL[Visible_M9],1)</f>
        <v>0</v>
      </c>
    </row>
    <row r="11" spans="1:7" x14ac:dyDescent="0.3">
      <c r="A11" s="76">
        <v>45627</v>
      </c>
      <c r="B11" s="97">
        <f>SUMIFS(Q_Transacciones_ETL[Total],Q_Transacciones_ETL[Fecha],"&gt;="&amp;A11,Q_Transacciones_ETL[Fecha],"&lt;"&amp;EDATE(A11,1),Q_Transacciones_ETL[Visible_M9],1)</f>
        <v>0</v>
      </c>
      <c r="C11" s="77">
        <f>SUMIFS(Q_Transacciones_ETL[Cantidad],Q_Transacciones_ETL[Fecha],"&gt;="&amp;A11,Q_Transacciones_ETL[Fecha],"&lt;"&amp;EDATE(A11,1),Q_Transacciones_ETL[Visible_M9],1)</f>
        <v>0</v>
      </c>
      <c r="D11" s="97">
        <f>SUMIFS(Q_Transacciones_ETL[Margen_Estimado],Q_Transacciones_ETL[Fecha],"&gt;="&amp;A11,Q_Transacciones_ETL[Fecha],"&lt;"&amp;EDATE(A11,1),Q_Transacciones_ETL[Visible_M9],1)</f>
        <v>0</v>
      </c>
    </row>
    <row r="12" spans="1:7" x14ac:dyDescent="0.3">
      <c r="A12" s="76">
        <v>45658</v>
      </c>
      <c r="B12" s="97">
        <f>SUMIFS(Q_Transacciones_ETL[Total],Q_Transacciones_ETL[Fecha],"&gt;="&amp;A12,Q_Transacciones_ETL[Fecha],"&lt;"&amp;EDATE(A12,1),Q_Transacciones_ETL[Visible_M9],1)</f>
        <v>165000</v>
      </c>
      <c r="C12" s="77">
        <f>SUMIFS(Q_Transacciones_ETL[Cantidad],Q_Transacciones_ETL[Fecha],"&gt;="&amp;A12,Q_Transacciones_ETL[Fecha],"&lt;"&amp;EDATE(A12,1),Q_Transacciones_ETL[Visible_M9],1)</f>
        <v>2</v>
      </c>
      <c r="D12" s="97">
        <f>SUMIFS(Q_Transacciones_ETL[Margen_Estimado],Q_Transacciones_ETL[Fecha],"&gt;="&amp;A12,Q_Transacciones_ETL[Fecha],"&lt;"&amp;EDATE(A12,1),Q_Transacciones_ETL[Visible_M9],1)</f>
        <v>57750</v>
      </c>
    </row>
    <row r="13" spans="1:7" x14ac:dyDescent="0.3">
      <c r="A13" s="76">
        <v>45689</v>
      </c>
      <c r="B13" s="97">
        <f>SUMIFS(Q_Transacciones_ETL[Total],Q_Transacciones_ETL[Fecha],"&gt;="&amp;A13,Q_Transacciones_ETL[Fecha],"&lt;"&amp;EDATE(A13,1),Q_Transacciones_ETL[Visible_M9],1)</f>
        <v>560500</v>
      </c>
      <c r="C13" s="77">
        <f>SUMIFS(Q_Transacciones_ETL[Cantidad],Q_Transacciones_ETL[Fecha],"&gt;="&amp;A13,Q_Transacciones_ETL[Fecha],"&lt;"&amp;EDATE(A13,1),Q_Transacciones_ETL[Visible_M9],1)</f>
        <v>15</v>
      </c>
      <c r="D13" s="97">
        <f>SUMIFS(Q_Transacciones_ETL[Margen_Estimado],Q_Transacciones_ETL[Fecha],"&gt;="&amp;A13,Q_Transacciones_ETL[Fecha],"&lt;"&amp;EDATE(A13,1),Q_Transacciones_ETL[Visible_M9],1)</f>
        <v>196175</v>
      </c>
    </row>
    <row r="14" spans="1:7" x14ac:dyDescent="0.3">
      <c r="A14" s="76">
        <v>45717</v>
      </c>
      <c r="B14" s="97">
        <f>SUMIFS(Q_Transacciones_ETL[Total],Q_Transacciones_ETL[Fecha],"&gt;="&amp;A14,Q_Transacciones_ETL[Fecha],"&lt;"&amp;EDATE(A14,1),Q_Transacciones_ETL[Visible_M9],1)</f>
        <v>0</v>
      </c>
      <c r="C14" s="77">
        <f>SUMIFS(Q_Transacciones_ETL[Cantidad],Q_Transacciones_ETL[Fecha],"&gt;="&amp;A14,Q_Transacciones_ETL[Fecha],"&lt;"&amp;EDATE(A14,1),Q_Transacciones_ETL[Visible_M9],1)</f>
        <v>0</v>
      </c>
      <c r="D14" s="97">
        <f>SUMIFS(Q_Transacciones_ETL[Margen_Estimado],Q_Transacciones_ETL[Fecha],"&gt;="&amp;A14,Q_Transacciones_ETL[Fecha],"&lt;"&amp;EDATE(A14,1),Q_Transacciones_ETL[Visible_M9],1)</f>
        <v>0</v>
      </c>
    </row>
    <row r="15" spans="1:7" x14ac:dyDescent="0.3">
      <c r="A15" s="76">
        <v>45748</v>
      </c>
      <c r="B15" s="97">
        <f>SUMIFS(Q_Transacciones_ETL[Total],Q_Transacciones_ETL[Fecha],"&gt;="&amp;A15,Q_Transacciones_ETL[Fecha],"&lt;"&amp;EDATE(A15,1),Q_Transacciones_ETL[Visible_M9],1)</f>
        <v>0</v>
      </c>
      <c r="C15" s="77">
        <f>SUMIFS(Q_Transacciones_ETL[Cantidad],Q_Transacciones_ETL[Fecha],"&gt;="&amp;A15,Q_Transacciones_ETL[Fecha],"&lt;"&amp;EDATE(A15,1),Q_Transacciones_ETL[Visible_M9],1)</f>
        <v>0</v>
      </c>
      <c r="D15" s="97">
        <f>SUMIFS(Q_Transacciones_ETL[Margen_Estimado],Q_Transacciones_ETL[Fecha],"&gt;="&amp;A15,Q_Transacciones_ETL[Fecha],"&lt;"&amp;EDATE(A15,1),Q_Transacciones_ETL[Visible_M9],1)</f>
        <v>0</v>
      </c>
    </row>
    <row r="16" spans="1:7" x14ac:dyDescent="0.3">
      <c r="A16" s="76">
        <v>45778</v>
      </c>
      <c r="B16" s="97">
        <f>SUMIFS(Q_Transacciones_ETL[Total],Q_Transacciones_ETL[Fecha],"&gt;="&amp;A16,Q_Transacciones_ETL[Fecha],"&lt;"&amp;EDATE(A16,1),Q_Transacciones_ETL[Visible_M9],1)</f>
        <v>96500</v>
      </c>
      <c r="C16" s="77">
        <f>SUMIFS(Q_Transacciones_ETL[Cantidad],Q_Transacciones_ETL[Fecha],"&gt;="&amp;A16,Q_Transacciones_ETL[Fecha],"&lt;"&amp;EDATE(A16,1),Q_Transacciones_ETL[Visible_M9],1)</f>
        <v>3</v>
      </c>
      <c r="D16" s="97">
        <f>SUMIFS(Q_Transacciones_ETL[Margen_Estimado],Q_Transacciones_ETL[Fecha],"&gt;="&amp;A16,Q_Transacciones_ETL[Fecha],"&lt;"&amp;EDATE(A16,1),Q_Transacciones_ETL[Visible_M9],1)</f>
        <v>33775</v>
      </c>
    </row>
    <row r="17" spans="1:4" x14ac:dyDescent="0.3">
      <c r="A17" s="76">
        <v>45809</v>
      </c>
      <c r="B17" s="97">
        <f>SUMIFS(Q_Transacciones_ETL[Total],Q_Transacciones_ETL[Fecha],"&gt;="&amp;A17,Q_Transacciones_ETL[Fecha],"&lt;"&amp;EDATE(A17,1),Q_Transacciones_ETL[Visible_M9],1)</f>
        <v>261000</v>
      </c>
      <c r="C17" s="77">
        <f>SUMIFS(Q_Transacciones_ETL[Cantidad],Q_Transacciones_ETL[Fecha],"&gt;="&amp;A17,Q_Transacciones_ETL[Fecha],"&lt;"&amp;EDATE(A17,1),Q_Transacciones_ETL[Visible_M9],1)</f>
        <v>11</v>
      </c>
      <c r="D17" s="97">
        <f>SUMIFS(Q_Transacciones_ETL[Margen_Estimado],Q_Transacciones_ETL[Fecha],"&gt;="&amp;A17,Q_Transacciones_ETL[Fecha],"&lt;"&amp;EDATE(A17,1),Q_Transacciones_ETL[Visible_M9],1)</f>
        <v>91350</v>
      </c>
    </row>
    <row r="18" spans="1:4" x14ac:dyDescent="0.3">
      <c r="A18" s="76">
        <v>45839</v>
      </c>
      <c r="B18" s="97">
        <f>SUMIFS(Q_Transacciones_ETL[Total],Q_Transacciones_ETL[Fecha],"&gt;="&amp;A18,Q_Transacciones_ETL[Fecha],"&lt;"&amp;EDATE(A18,1),Q_Transacciones_ETL[Visible_M9],1)</f>
        <v>0</v>
      </c>
      <c r="C18" s="77">
        <f>SUMIFS(Q_Transacciones_ETL[Cantidad],Q_Transacciones_ETL[Fecha],"&gt;="&amp;A18,Q_Transacciones_ETL[Fecha],"&lt;"&amp;EDATE(A18,1),Q_Transacciones_ETL[Visible_M9],1)</f>
        <v>0</v>
      </c>
      <c r="D18" s="97">
        <f>SUMIFS(Q_Transacciones_ETL[Margen_Estimado],Q_Transacciones_ETL[Fecha],"&gt;="&amp;A18,Q_Transacciones_ETL[Fecha],"&lt;"&amp;EDATE(A18,1),Q_Transacciones_ETL[Visible_M9],1)</f>
        <v>0</v>
      </c>
    </row>
    <row r="19" spans="1:4" x14ac:dyDescent="0.3">
      <c r="A19" s="76">
        <v>45870</v>
      </c>
      <c r="B19" s="97">
        <f>SUMIFS(Q_Transacciones_ETL[Total],Q_Transacciones_ETL[Fecha],"&gt;="&amp;A19,Q_Transacciones_ETL[Fecha],"&lt;"&amp;EDATE(A19,1),Q_Transacciones_ETL[Visible_M9],1)</f>
        <v>0</v>
      </c>
      <c r="C19" s="77">
        <f>SUMIFS(Q_Transacciones_ETL[Cantidad],Q_Transacciones_ETL[Fecha],"&gt;="&amp;A19,Q_Transacciones_ETL[Fecha],"&lt;"&amp;EDATE(A19,1),Q_Transacciones_ETL[Visible_M9],1)</f>
        <v>0</v>
      </c>
      <c r="D19" s="97">
        <f>SUMIFS(Q_Transacciones_ETL[Margen_Estimado],Q_Transacciones_ETL[Fecha],"&gt;="&amp;A19,Q_Transacciones_ETL[Fecha],"&lt;"&amp;EDATE(A19,1),Q_Transacciones_ETL[Visible_M9],1)</f>
        <v>0</v>
      </c>
    </row>
    <row r="20" spans="1:4" x14ac:dyDescent="0.3">
      <c r="A20" s="76">
        <v>45901</v>
      </c>
      <c r="B20" s="97">
        <f>SUMIFS(Q_Transacciones_ETL[Total],Q_Transacciones_ETL[Fecha],"&gt;="&amp;A20,Q_Transacciones_ETL[Fecha],"&lt;"&amp;EDATE(A20,1),Q_Transacciones_ETL[Visible_M9],1)</f>
        <v>0</v>
      </c>
      <c r="C20" s="77">
        <f>SUMIFS(Q_Transacciones_ETL[Cantidad],Q_Transacciones_ETL[Fecha],"&gt;="&amp;A20,Q_Transacciones_ETL[Fecha],"&lt;"&amp;EDATE(A20,1),Q_Transacciones_ETL[Visible_M9],1)</f>
        <v>0</v>
      </c>
      <c r="D20" s="97">
        <f>SUMIFS(Q_Transacciones_ETL[Margen_Estimado],Q_Transacciones_ETL[Fecha],"&gt;="&amp;A20,Q_Transacciones_ETL[Fecha],"&lt;"&amp;EDATE(A20,1),Q_Transacciones_ETL[Visible_M9],1)</f>
        <v>0</v>
      </c>
    </row>
    <row r="21" spans="1:4" x14ac:dyDescent="0.3">
      <c r="A21" s="76">
        <v>45931</v>
      </c>
      <c r="B21" s="97">
        <f>SUMIFS(Q_Transacciones_ETL[Total],Q_Transacciones_ETL[Fecha],"&gt;="&amp;A21,Q_Transacciones_ETL[Fecha],"&lt;"&amp;EDATE(A21,1),Q_Transacciones_ETL[Visible_M9],1)</f>
        <v>0</v>
      </c>
      <c r="C21" s="77">
        <f>SUMIFS(Q_Transacciones_ETL[Cantidad],Q_Transacciones_ETL[Fecha],"&gt;="&amp;A21,Q_Transacciones_ETL[Fecha],"&lt;"&amp;EDATE(A21,1),Q_Transacciones_ETL[Visible_M9],1)</f>
        <v>0</v>
      </c>
      <c r="D21" s="97">
        <f>SUMIFS(Q_Transacciones_ETL[Margen_Estimado],Q_Transacciones_ETL[Fecha],"&gt;="&amp;A21,Q_Transacciones_ETL[Fecha],"&lt;"&amp;EDATE(A21,1),Q_Transacciones_ETL[Visible_M9],1)</f>
        <v>0</v>
      </c>
    </row>
    <row r="22" spans="1:4" x14ac:dyDescent="0.3">
      <c r="A22" s="76">
        <v>45962</v>
      </c>
      <c r="B22" s="97">
        <f>SUMIFS(Q_Transacciones_ETL[Total],Q_Transacciones_ETL[Fecha],"&gt;="&amp;A22,Q_Transacciones_ETL[Fecha],"&lt;"&amp;EDATE(A22,1),Q_Transacciones_ETL[Visible_M9],1)</f>
        <v>0</v>
      </c>
      <c r="C22" s="77">
        <f>SUMIFS(Q_Transacciones_ETL[Cantidad],Q_Transacciones_ETL[Fecha],"&gt;="&amp;A22,Q_Transacciones_ETL[Fecha],"&lt;"&amp;EDATE(A22,1),Q_Transacciones_ETL[Visible_M9],1)</f>
        <v>0</v>
      </c>
      <c r="D22" s="97">
        <f>SUMIFS(Q_Transacciones_ETL[Margen_Estimado],Q_Transacciones_ETL[Fecha],"&gt;="&amp;A22,Q_Transacciones_ETL[Fecha],"&lt;"&amp;EDATE(A22,1),Q_Transacciones_ETL[Visible_M9],1)</f>
        <v>0</v>
      </c>
    </row>
    <row r="23" spans="1:4" x14ac:dyDescent="0.3">
      <c r="A23" s="76">
        <v>45992</v>
      </c>
      <c r="B23" s="97">
        <f>SUMIFS(Q_Transacciones_ETL[Total],Q_Transacciones_ETL[Fecha],"&gt;="&amp;A23,Q_Transacciones_ETL[Fecha],"&lt;"&amp;EDATE(A23,1),Q_Transacciones_ETL[Visible_M9],1)</f>
        <v>0</v>
      </c>
      <c r="C23" s="77">
        <f>SUMIFS(Q_Transacciones_ETL[Cantidad],Q_Transacciones_ETL[Fecha],"&gt;="&amp;A23,Q_Transacciones_ETL[Fecha],"&lt;"&amp;EDATE(A23,1),Q_Transacciones_ETL[Visible_M9],1)</f>
        <v>0</v>
      </c>
      <c r="D23" s="97">
        <f>SUMIFS(Q_Transacciones_ETL[Margen_Estimado],Q_Transacciones_ETL[Fecha],"&gt;="&amp;A23,Q_Transacciones_ETL[Fecha],"&lt;"&amp;EDATE(A23,1),Q_Transacciones_ETL[Visible_M9],1)</f>
        <v>0</v>
      </c>
    </row>
    <row r="24" spans="1:4" x14ac:dyDescent="0.3">
      <c r="A24" s="76">
        <v>46023</v>
      </c>
      <c r="B24" s="97">
        <f>SUMIFS(Q_Transacciones_ETL[Total],Q_Transacciones_ETL[Fecha],"&gt;="&amp;A24,Q_Transacciones_ETL[Fecha],"&lt;"&amp;EDATE(A24,1),Q_Transacciones_ETL[Visible_M9],1)</f>
        <v>41500</v>
      </c>
      <c r="C24" s="77">
        <f>SUMIFS(Q_Transacciones_ETL[Cantidad],Q_Transacciones_ETL[Fecha],"&gt;="&amp;A24,Q_Transacciones_ETL[Fecha],"&lt;"&amp;EDATE(A24,1),Q_Transacciones_ETL[Visible_M9],1)</f>
        <v>5</v>
      </c>
      <c r="D24" s="97">
        <f>SUMIFS(Q_Transacciones_ETL[Margen_Estimado],Q_Transacciones_ETL[Fecha],"&gt;="&amp;A24,Q_Transacciones_ETL[Fecha],"&lt;"&amp;EDATE(A24,1),Q_Transacciones_ETL[Visible_M9],1)</f>
        <v>14525</v>
      </c>
    </row>
    <row r="25" spans="1:4" x14ac:dyDescent="0.3">
      <c r="A25" s="76">
        <v>46054</v>
      </c>
      <c r="B25" s="97">
        <f>SUMIFS(Q_Transacciones_ETL[Total],Q_Transacciones_ETL[Fecha],"&gt;="&amp;A25,Q_Transacciones_ETL[Fecha],"&lt;"&amp;EDATE(A25,1),Q_Transacciones_ETL[Visible_M9],1)</f>
        <v>223500</v>
      </c>
      <c r="C25" s="77">
        <f>SUMIFS(Q_Transacciones_ETL[Cantidad],Q_Transacciones_ETL[Fecha],"&gt;="&amp;A25,Q_Transacciones_ETL[Fecha],"&lt;"&amp;EDATE(A25,1),Q_Transacciones_ETL[Visible_M9],1)</f>
        <v>9</v>
      </c>
      <c r="D25" s="97">
        <f>SUMIFS(Q_Transacciones_ETL[Margen_Estimado],Q_Transacciones_ETL[Fecha],"&gt;="&amp;A25,Q_Transacciones_ETL[Fecha],"&lt;"&amp;EDATE(A25,1),Q_Transacciones_ETL[Visible_M9],1)</f>
        <v>78225</v>
      </c>
    </row>
    <row r="26" spans="1:4" x14ac:dyDescent="0.3">
      <c r="A26" s="76">
        <v>46082</v>
      </c>
      <c r="B26" s="97">
        <f>SUMIFS(Q_Transacciones_ETL[Total],Q_Transacciones_ETL[Fecha],"&gt;="&amp;A26,Q_Transacciones_ETL[Fecha],"&lt;"&amp;EDATE(A26,1),Q_Transacciones_ETL[Visible_M9],1)</f>
        <v>127000</v>
      </c>
      <c r="C26" s="77">
        <f>SUMIFS(Q_Transacciones_ETL[Cantidad],Q_Transacciones_ETL[Fecha],"&gt;="&amp;A26,Q_Transacciones_ETL[Fecha],"&lt;"&amp;EDATE(A26,1),Q_Transacciones_ETL[Visible_M9],1)</f>
        <v>9</v>
      </c>
      <c r="D26" s="97">
        <f>SUMIFS(Q_Transacciones_ETL[Margen_Estimado],Q_Transacciones_ETL[Fecha],"&gt;="&amp;A26,Q_Transacciones_ETL[Fecha],"&lt;"&amp;EDATE(A26,1),Q_Transacciones_ETL[Visible_M9],1)</f>
        <v>44450</v>
      </c>
    </row>
    <row r="27" spans="1:4" x14ac:dyDescent="0.3">
      <c r="A27" s="76">
        <v>46113</v>
      </c>
      <c r="B27" s="97">
        <f>SUMIFS(Q_Transacciones_ETL[Total],Q_Transacciones_ETL[Fecha],"&gt;="&amp;A27,Q_Transacciones_ETL[Fecha],"&lt;"&amp;EDATE(A27,1),Q_Transacciones_ETL[Visible_M9],1)</f>
        <v>120000</v>
      </c>
      <c r="C27" s="77">
        <f>SUMIFS(Q_Transacciones_ETL[Cantidad],Q_Transacciones_ETL[Fecha],"&gt;="&amp;A27,Q_Transacciones_ETL[Fecha],"&lt;"&amp;EDATE(A27,1),Q_Transacciones_ETL[Visible_M9],1)</f>
        <v>1</v>
      </c>
      <c r="D27" s="97">
        <f>SUMIFS(Q_Transacciones_ETL[Margen_Estimado],Q_Transacciones_ETL[Fecha],"&gt;="&amp;A27,Q_Transacciones_ETL[Fecha],"&lt;"&amp;EDATE(A27,1),Q_Transacciones_ETL[Visible_M9],1)</f>
        <v>42000</v>
      </c>
    </row>
    <row r="28" spans="1:4" x14ac:dyDescent="0.3">
      <c r="A28" s="76">
        <v>46143</v>
      </c>
      <c r="B28" s="97">
        <f>SUMIFS(Q_Transacciones_ETL[Total],Q_Transacciones_ETL[Fecha],"&gt;="&amp;A28,Q_Transacciones_ETL[Fecha],"&lt;"&amp;EDATE(A28,1),Q_Transacciones_ETL[Visible_M9],1)</f>
        <v>299000</v>
      </c>
      <c r="C28" s="77">
        <f>SUMIFS(Q_Transacciones_ETL[Cantidad],Q_Transacciones_ETL[Fecha],"&gt;="&amp;A28,Q_Transacciones_ETL[Fecha],"&lt;"&amp;EDATE(A28,1),Q_Transacciones_ETL[Visible_M9],1)</f>
        <v>11</v>
      </c>
      <c r="D28" s="97">
        <f>SUMIFS(Q_Transacciones_ETL[Margen_Estimado],Q_Transacciones_ETL[Fecha],"&gt;="&amp;A28,Q_Transacciones_ETL[Fecha],"&lt;"&amp;EDATE(A28,1),Q_Transacciones_ETL[Visible_M9],1)</f>
        <v>104650</v>
      </c>
    </row>
    <row r="29" spans="1:4" x14ac:dyDescent="0.3">
      <c r="A29" s="76">
        <v>46174</v>
      </c>
      <c r="B29" s="97">
        <f>SUMIFS(Q_Transacciones_ETL[Total],Q_Transacciones_ETL[Fecha],"&gt;="&amp;A29,Q_Transacciones_ETL[Fecha],"&lt;"&amp;EDATE(A29,1),Q_Transacciones_ETL[Visible_M9],1)</f>
        <v>12000</v>
      </c>
      <c r="C29" s="77">
        <f>SUMIFS(Q_Transacciones_ETL[Cantidad],Q_Transacciones_ETL[Fecha],"&gt;="&amp;A29,Q_Transacciones_ETL[Fecha],"&lt;"&amp;EDATE(A29,1),Q_Transacciones_ETL[Visible_M9],1)</f>
        <v>2</v>
      </c>
      <c r="D29" s="97">
        <f>SUMIFS(Q_Transacciones_ETL[Margen_Estimado],Q_Transacciones_ETL[Fecha],"&gt;="&amp;A29,Q_Transacciones_ETL[Fecha],"&lt;"&amp;EDATE(A29,1),Q_Transacciones_ETL[Visible_M9],1)</f>
        <v>4200</v>
      </c>
    </row>
    <row r="30" spans="1:4" x14ac:dyDescent="0.3">
      <c r="A30" s="76">
        <v>46204</v>
      </c>
      <c r="B30" s="97">
        <f>SUMIFS(Q_Transacciones_ETL[Total],Q_Transacciones_ETL[Fecha],"&gt;="&amp;A30,Q_Transacciones_ETL[Fecha],"&lt;"&amp;EDATE(A30,1),Q_Transacciones_ETL[Visible_M9],1)</f>
        <v>56000</v>
      </c>
      <c r="C30" s="77">
        <f>SUMIFS(Q_Transacciones_ETL[Cantidad],Q_Transacciones_ETL[Fecha],"&gt;="&amp;A30,Q_Transacciones_ETL[Fecha],"&lt;"&amp;EDATE(A30,1),Q_Transacciones_ETL[Visible_M9],1)</f>
        <v>2</v>
      </c>
      <c r="D30" s="97">
        <f>SUMIFS(Q_Transacciones_ETL[Margen_Estimado],Q_Transacciones_ETL[Fecha],"&gt;="&amp;A30,Q_Transacciones_ETL[Fecha],"&lt;"&amp;EDATE(A30,1),Q_Transacciones_ETL[Visible_M9],1)</f>
        <v>19600</v>
      </c>
    </row>
    <row r="31" spans="1:4" x14ac:dyDescent="0.3">
      <c r="A31" s="76">
        <v>46235</v>
      </c>
      <c r="B31" s="97">
        <f>SUMIFS(Q_Transacciones_ETL[Total],Q_Transacciones_ETL[Fecha],"&gt;="&amp;A31,Q_Transacciones_ETL[Fecha],"&lt;"&amp;EDATE(A31,1),Q_Transacciones_ETL[Visible_M9],1)</f>
        <v>540000</v>
      </c>
      <c r="C31" s="77">
        <f>SUMIFS(Q_Transacciones_ETL[Cantidad],Q_Transacciones_ETL[Fecha],"&gt;="&amp;A31,Q_Transacciones_ETL[Fecha],"&lt;"&amp;EDATE(A31,1),Q_Transacciones_ETL[Visible_M9],1)</f>
        <v>24</v>
      </c>
      <c r="D31" s="97">
        <f>SUMIFS(Q_Transacciones_ETL[Margen_Estimado],Q_Transacciones_ETL[Fecha],"&gt;="&amp;A31,Q_Transacciones_ETL[Fecha],"&lt;"&amp;EDATE(A31,1),Q_Transacciones_ETL[Visible_M9],1)</f>
        <v>189000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8FBC936-4AA9-4D50-B42C-E811FB186D67}">
  <ds:schemaRefs/>
</ds:datastoreItem>
</file>

<file path=customXml/itemProps2.xml><?xml version="1.0" encoding="utf-8"?>
<ds:datastoreItem xmlns:ds="http://schemas.openxmlformats.org/officeDocument/2006/customXml" ds:itemID="{E4C79AFE-3D68-4856-A2ED-1061EF00C8A2}">
  <ds:schemaRefs/>
</ds:datastoreItem>
</file>

<file path=customXml/itemProps3.xml><?xml version="1.0" encoding="utf-8"?>
<ds:datastoreItem xmlns:ds="http://schemas.openxmlformats.org/officeDocument/2006/customXml" ds:itemID="{91678C3C-77A1-4234-B7DD-2A00B9DA97EE}">
  <ds:schemaRefs/>
</ds:datastoreItem>
</file>

<file path=customXml/itemProps4.xml><?xml version="1.0" encoding="utf-8"?>
<ds:datastoreItem xmlns:ds="http://schemas.openxmlformats.org/officeDocument/2006/customXml" ds:itemID="{E55BCEAD-D008-4549-A57B-4FEE058EA1C9}">
  <ds:schemaRefs/>
</ds:datastoreItem>
</file>

<file path=customXml/itemProps5.xml><?xml version="1.0" encoding="utf-8"?>
<ds:datastoreItem xmlns:ds="http://schemas.openxmlformats.org/officeDocument/2006/customXml" ds:itemID="{8FDFE1DA-E356-4B86-8806-85A13BEA8460}">
  <ds:schemaRefs/>
</ds:datastoreItem>
</file>

<file path=customXml/itemProps6.xml><?xml version="1.0" encoding="utf-8"?>
<ds:datastoreItem xmlns:ds="http://schemas.openxmlformats.org/officeDocument/2006/customXml" ds:itemID="{C12D9268-F14F-49E5-B622-EDB8928577F7}">
  <ds:schemaRefs/>
</ds:datastoreItem>
</file>

<file path=customXml/itemProps7.xml><?xml version="1.0" encoding="utf-8"?>
<ds:datastoreItem xmlns:ds="http://schemas.openxmlformats.org/officeDocument/2006/customXml" ds:itemID="{41F318AF-20A3-4005-A76C-3F88FAB917C0}">
  <ds:schemaRefs/>
</ds:datastoreItem>
</file>

<file path=customXml/itemProps8.xml><?xml version="1.0" encoding="utf-8"?>
<ds:datastoreItem xmlns:ds="http://schemas.openxmlformats.org/officeDocument/2006/customXml" ds:itemID="{86C9406B-1EF7-47F3-BB76-1D529ECC3B94}">
  <ds:schemaRefs/>
</ds:datastoreItem>
</file>

<file path=customXml/itemProps9.xml><?xml version="1.0" encoding="utf-8"?>
<ds:datastoreItem xmlns:ds="http://schemas.openxmlformats.org/officeDocument/2006/customXml" ds:itemID="{EF5A01CE-170F-4F1C-9162-27C182BAD7B7}">
  <ds:schemaRefs/>
</ds:datastoreItem>
</file>

<file path=customXml/itemProps10.xml><?xml version="1.0" encoding="utf-8"?>
<ds:datastoreItem xmlns:ds="http://schemas.openxmlformats.org/officeDocument/2006/customXml" ds:itemID="{9257F1E5-314A-4AE5-B1F6-E5E394EE71C7}">
  <ds:schemaRefs/>
</ds:datastoreItem>
</file>

<file path=customXml/itemProps11.xml><?xml version="1.0" encoding="utf-8"?>
<ds:datastoreItem xmlns:ds="http://schemas.openxmlformats.org/officeDocument/2006/customXml" ds:itemID="{31EE60DA-379C-4384-9022-82493E34A2C7}">
  <ds:schemaRefs/>
</ds:datastoreItem>
</file>

<file path=customXml/itemProps12.xml><?xml version="1.0" encoding="utf-8"?>
<ds:datastoreItem xmlns:ds="http://schemas.openxmlformats.org/officeDocument/2006/customXml" ds:itemID="{099E9AB7-DFB0-4278-BCB6-04844D62CE04}">
  <ds:schemaRefs/>
</ds:datastoreItem>
</file>

<file path=customXml/itemProps13.xml><?xml version="1.0" encoding="utf-8"?>
<ds:datastoreItem xmlns:ds="http://schemas.openxmlformats.org/officeDocument/2006/customXml" ds:itemID="{CC4BA794-6EA9-4275-8085-DFCE83F11F1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18F09FD0-26FF-4FF2-9FA0-63CC311AF608}">
  <ds:schemaRefs/>
</ds:datastoreItem>
</file>

<file path=customXml/itemProps15.xml><?xml version="1.0" encoding="utf-8"?>
<ds:datastoreItem xmlns:ds="http://schemas.openxmlformats.org/officeDocument/2006/customXml" ds:itemID="{292745A0-B479-46BC-BD6E-E0CA6AB97776}">
  <ds:schemaRefs/>
</ds:datastoreItem>
</file>

<file path=customXml/itemProps16.xml><?xml version="1.0" encoding="utf-8"?>
<ds:datastoreItem xmlns:ds="http://schemas.openxmlformats.org/officeDocument/2006/customXml" ds:itemID="{720EC8F7-C29A-47BC-ABDF-3268BC836917}">
  <ds:schemaRefs/>
</ds:datastoreItem>
</file>

<file path=customXml/itemProps17.xml><?xml version="1.0" encoding="utf-8"?>
<ds:datastoreItem xmlns:ds="http://schemas.openxmlformats.org/officeDocument/2006/customXml" ds:itemID="{50CACED6-A9C3-4D0E-9AFB-FDE9F1D13C93}">
  <ds:schemaRefs/>
</ds:datastoreItem>
</file>

<file path=customXml/itemProps18.xml><?xml version="1.0" encoding="utf-8"?>
<ds:datastoreItem xmlns:ds="http://schemas.openxmlformats.org/officeDocument/2006/customXml" ds:itemID="{9CC87571-AFB3-4166-922D-8594712B2B27}">
  <ds:schemaRefs/>
</ds:datastoreItem>
</file>

<file path=customXml/itemProps19.xml><?xml version="1.0" encoding="utf-8"?>
<ds:datastoreItem xmlns:ds="http://schemas.openxmlformats.org/officeDocument/2006/customXml" ds:itemID="{12F19ED1-38A2-4FE0-B42A-E9E2EE341236}">
  <ds:schemaRefs/>
</ds:datastoreItem>
</file>

<file path=customXml/itemProps20.xml><?xml version="1.0" encoding="utf-8"?>
<ds:datastoreItem xmlns:ds="http://schemas.openxmlformats.org/officeDocument/2006/customXml" ds:itemID="{3808E4F0-A1A2-45AF-A1E0-6BDFEE9EF6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Dashboard Final</vt:lpstr>
      <vt:lpstr>Registro_IA_M9</vt:lpstr>
      <vt:lpstr>PreEntrega_ModeloBI_Cornago</vt:lpstr>
      <vt:lpstr>Resumen_Escenarios_Oficial</vt:lpstr>
      <vt:lpstr>Simulacion_M8</vt:lpstr>
      <vt:lpstr>ToolPak_Estadistica</vt:lpstr>
      <vt:lpstr>Documentacion_M8</vt:lpstr>
      <vt:lpstr>Q_Transacciones_ETL</vt:lpstr>
      <vt:lpstr>Dim_Clientes_M8</vt:lpstr>
      <vt:lpstr>Dim_Productos_M8</vt:lpstr>
      <vt:lpstr>Dim_Calendario_M8</vt:lpstr>
      <vt:lpstr>Soporte_Dashboard_M9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virginia cornago</dc:creator>
  <cp:lastModifiedBy>mariana virginia cornago</cp:lastModifiedBy>
  <cp:lastPrinted>2026-10-02T21:41:14Z</cp:lastPrinted>
  <dcterms:created xsi:type="dcterms:W3CDTF">2026-08-05T23:54:29Z</dcterms:created>
  <dcterms:modified xsi:type="dcterms:W3CDTF">2026-10-02T21:49:17Z</dcterms:modified>
</cp:coreProperties>
</file>